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05.26" sheetId="1" r:id="rId5"/>
    <sheet state="visible" name="HT06.26" sheetId="2" r:id="rId6"/>
    <sheet state="visible" name="HT04.26" sheetId="3" r:id="rId7"/>
  </sheets>
  <definedNames>
    <definedName hidden="1" localSheetId="2" name="_xlnm._FilterDatabase">HT04.26!$A$75:$AU$299</definedName>
  </definedNames>
  <calcPr/>
</workbook>
</file>

<file path=xl/sharedStrings.xml><?xml version="1.0" encoding="utf-8"?>
<sst xmlns="http://schemas.openxmlformats.org/spreadsheetml/2006/main" count="5425" uniqueCount="1272">
  <si>
    <t>TỔNG HỢP SỐ LIỆU NHẬP KHO SẢN PHẨM HOÀN TẤT - THÁNG 05/2026</t>
  </si>
  <si>
    <t xml:space="preserve"> Mẫu số : NK01</t>
  </si>
  <si>
    <t>SL</t>
  </si>
  <si>
    <t>TỔNG TL
 (gr)</t>
  </si>
  <si>
    <t>TÊN SP</t>
  </si>
  <si>
    <t>QUI CÁCH</t>
  </si>
  <si>
    <t>SL HỘT</t>
  </si>
  <si>
    <t>TL HỘT
 (cts)</t>
  </si>
  <si>
    <t>TL VÀNG
 (gr)</t>
  </si>
  <si>
    <t>TỔNG PHÁT SINH NHẬP KHO SPHT</t>
  </si>
  <si>
    <t>SPVN - 214</t>
  </si>
  <si>
    <t>SPVN - 359</t>
  </si>
  <si>
    <t>SP US</t>
  </si>
  <si>
    <t>US</t>
  </si>
  <si>
    <t>SPVN - Kênh Sỉ</t>
  </si>
  <si>
    <t>Kênh sỉ</t>
  </si>
  <si>
    <t>CH</t>
  </si>
  <si>
    <t>SỐ PHIẾU NK</t>
  </si>
  <si>
    <t>NGÀY NK</t>
  </si>
  <si>
    <t>SKU</t>
  </si>
  <si>
    <t xml:space="preserve">SO </t>
  </si>
  <si>
    <t>MO</t>
  </si>
  <si>
    <t>CHI TIẾT  SẢN PHẨM</t>
  </si>
  <si>
    <t>LOẠI VÀNG</t>
  </si>
  <si>
    <t xml:space="preserve">SỐ 
LƯỢNG </t>
  </si>
  <si>
    <t>TÊN KHÁCH</t>
  </si>
  <si>
    <t>SỐ PO</t>
  </si>
  <si>
    <t>V-INV</t>
  </si>
  <si>
    <t>NGUỒN NHẬP</t>
  </si>
  <si>
    <t>TEST CVD</t>
  </si>
  <si>
    <t>TEST NGOÀI</t>
  </si>
  <si>
    <t>TEST TUỔI</t>
  </si>
  <si>
    <t>NK-CH3/26.0501</t>
  </si>
  <si>
    <t>18KBL: 18KY 16.52gr L10350 Size: 17.5cm</t>
  </si>
  <si>
    <t>18KY</t>
  </si>
  <si>
    <t>Lắc 18K</t>
  </si>
  <si>
    <t>L10350</t>
  </si>
  <si>
    <t>NGUYỄN HỮU ĐẠT - CH3</t>
  </si>
  <si>
    <t>SX-L2</t>
  </si>
  <si>
    <t xml:space="preserve">DIAPD: 18KY 1RD/0.003cts 3.82gr P11347 </t>
  </si>
  <si>
    <t>Mặt xoàn</t>
  </si>
  <si>
    <t>P11347</t>
  </si>
  <si>
    <t>TRẦN THỊ LAN - CH3</t>
  </si>
  <si>
    <t>NK-CH3/26.0502</t>
  </si>
  <si>
    <t>DRIMT: 18KW 216RD/0.695cts 5.32gr B12522-4.0mm Size: 18.5VN</t>
  </si>
  <si>
    <t>18KW</t>
  </si>
  <si>
    <t>DRIMT</t>
  </si>
  <si>
    <t>B12522-4.0mm</t>
  </si>
  <si>
    <t>VÕ HỒNG DI VI - CH3</t>
  </si>
  <si>
    <t>NK-CH2/26.0503</t>
  </si>
  <si>
    <t xml:space="preserve">DERMT: 18KW 22RD/0.815cts 3.3gr E11135-4.5mm </t>
  </si>
  <si>
    <t>DERMT</t>
  </si>
  <si>
    <t>E11135-4.5mm</t>
  </si>
  <si>
    <t>SR214</t>
  </si>
  <si>
    <t>NK-CH2/26.0504</t>
  </si>
  <si>
    <t>RIMTG: 18KWYR 20.72gr B12855-8.1*8.18mm Size: 8.25</t>
  </si>
  <si>
    <t>18KWYR</t>
  </si>
  <si>
    <t>RIMTG</t>
  </si>
  <si>
    <t>B12855-8.1*8.18mm</t>
  </si>
  <si>
    <t>CHÚ THÁI TUẤN - CH2</t>
  </si>
  <si>
    <t>NK-CH2/26.0505</t>
  </si>
  <si>
    <t xml:space="preserve">DIAER: 18KR 32RD/0.412cts 2.78gr E11137 </t>
  </si>
  <si>
    <t>18KR</t>
  </si>
  <si>
    <t>DIAER</t>
  </si>
  <si>
    <t>E11137</t>
  </si>
  <si>
    <t>CHÚ HÀ - CH2</t>
  </si>
  <si>
    <t>NK-SPH/26.0501</t>
  </si>
  <si>
    <t>18KPD:18KR 0RD/0cts 11.83gr</t>
  </si>
  <si>
    <t>18KPD</t>
  </si>
  <si>
    <t>18KPD:18KR 0RD/0cts 10.1gr</t>
  </si>
  <si>
    <t>NK-CH2/26.0506</t>
  </si>
  <si>
    <t xml:space="preserve">DERMT: 18KW 136RD/0.568cts+16BG/0.134cts 3.27gr E11067-4.5mm </t>
  </si>
  <si>
    <t>E11067-4.5mm</t>
  </si>
  <si>
    <t>XTP-AG.26/0502</t>
  </si>
  <si>
    <t>[DHAG-25/06/01]</t>
  </si>
  <si>
    <t>18KW: DAY FRANCO VUONG 39.25GR CW35FS, SIZE: 44-46</t>
  </si>
  <si>
    <t>750W</t>
  </si>
  <si>
    <t>18KCH</t>
  </si>
  <si>
    <t>CW35FS</t>
  </si>
  <si>
    <t>[DHAG-26/05/01]</t>
  </si>
  <si>
    <t>15KY: DAY CHU CONG 99.53GR CY40CA1, SIZE: 17M6</t>
  </si>
  <si>
    <t>610Y</t>
  </si>
  <si>
    <t>CY40CA1</t>
  </si>
  <si>
    <t>BÙI VĂN TUYỂN - KÊNH SỈ</t>
  </si>
  <si>
    <t>AG-L3</t>
  </si>
  <si>
    <t>NK-CH2/26.0507</t>
  </si>
  <si>
    <t>DIARI: 18KY 36RD/0.645cts 10.37gr D10954-02 Size: 6.5</t>
  </si>
  <si>
    <t>DIARI</t>
  </si>
  <si>
    <t>D10954-02</t>
  </si>
  <si>
    <t>NK-CH3/26.0503</t>
  </si>
  <si>
    <t>18KNL: 18KY 2.54gr N10288 Size: 40cm</t>
  </si>
  <si>
    <t>18KNL</t>
  </si>
  <si>
    <t>N10288</t>
  </si>
  <si>
    <t>NGÔ ĐA KIM KHÁNH-CH3</t>
  </si>
  <si>
    <t>NK-CH3/26.0504</t>
  </si>
  <si>
    <t>DRIMT: 18KW 28RD/1.694cts 4.79gr B11960-6.8mm Size: 9VN</t>
  </si>
  <si>
    <t>B11960-6.8mm</t>
  </si>
  <si>
    <t>SA HUỲNH - CH3</t>
  </si>
  <si>
    <t>NK-CH3/26.0505</t>
  </si>
  <si>
    <t xml:space="preserve">DERMT: 18KW 48RD/0.651cts 4.12gr E11139-5.0mm </t>
  </si>
  <si>
    <t>E11139-5.0mm</t>
  </si>
  <si>
    <t>NK-CH2/26.0508</t>
  </si>
  <si>
    <t>DRIMT: 18KW 54RD/0.166cts+18BG/0.733cts 3.75gr B12867-5.7mm 11.25VN</t>
  </si>
  <si>
    <t>B12867-5.7mm</t>
  </si>
  <si>
    <t>NK-CH2/26.0509</t>
  </si>
  <si>
    <t>RIMTG: 14KY 5.54gr B12869-7.35*3.72mm 21VN</t>
  </si>
  <si>
    <t>14KY</t>
  </si>
  <si>
    <t>B12869-7.35*3.72mm</t>
  </si>
  <si>
    <t>NGUYỄN THỊ NGỌC DIỆP-CH2</t>
  </si>
  <si>
    <t>NK-CH3/26.0506</t>
  </si>
  <si>
    <t xml:space="preserve">DPDMT: 18KW 31RD/0.908cts 3.71gr P11352-11.13*9.39mm </t>
  </si>
  <si>
    <t>DPDMT</t>
  </si>
  <si>
    <t>P11352-11.13*9.39mm</t>
  </si>
  <si>
    <t>TRƯƠNG THỊ KIỀU TRANG- CH3</t>
  </si>
  <si>
    <t>XTP-AG.26/0504</t>
  </si>
  <si>
    <t>18KW: DAY CONG KHE 54.05GR CW60CA4,SIZE:46-48</t>
  </si>
  <si>
    <t>CW60CA4</t>
  </si>
  <si>
    <t>NK-CH2/26.0510</t>
  </si>
  <si>
    <t>18KNL: 18KW 67.67gr N10261 Size: 77.3cm</t>
  </si>
  <si>
    <t>N10261</t>
  </si>
  <si>
    <t>NGUYỄN TUẤN ANH - CH2</t>
  </si>
  <si>
    <t>NK-CH3/26.0507</t>
  </si>
  <si>
    <t>DRIMT: 18KW 204RD/0.656cts 5.25gr B12522-4.0mm*17 Size: 15VN</t>
  </si>
  <si>
    <t>B12522-4.0mm*17</t>
  </si>
  <si>
    <t>NK-CH3/26.0508</t>
  </si>
  <si>
    <t xml:space="preserve">DIAPD: 18KY 1RD/0.003cts 3.97gr P11347 </t>
  </si>
  <si>
    <t>DIAPD</t>
  </si>
  <si>
    <t>NGUYỄN THỊ THÀNH-CH3</t>
  </si>
  <si>
    <t>NK-CH2/26.0511</t>
  </si>
  <si>
    <t>DIAER: 18KW 7RD/0.71cts 1.79gr E10981</t>
  </si>
  <si>
    <t>E10981</t>
  </si>
  <si>
    <t>CHỊ KHANH</t>
  </si>
  <si>
    <t>NK-CH2/26.0601</t>
  </si>
  <si>
    <t>26.10822</t>
  </si>
  <si>
    <t>26.36613</t>
  </si>
  <si>
    <t>DIANL: 18KW 1RD/0.015cts 2gr N10290-01 Size: 40cm</t>
  </si>
  <si>
    <t>DIANL</t>
  </si>
  <si>
    <t>N10290-01</t>
  </si>
  <si>
    <t>NGUYỄN THỤY TƯỜNG VY</t>
  </si>
  <si>
    <t>26.36614</t>
  </si>
  <si>
    <t>DIANL: 18KW 1RD/0.015cts 2.02gr N10290-02 Size: 40cm</t>
  </si>
  <si>
    <t>N10290-02</t>
  </si>
  <si>
    <t>TỔNG</t>
  </si>
  <si>
    <t>CHI TIẾT  SẢN PHẨM - NHẬP US</t>
  </si>
  <si>
    <t>NHÓM</t>
  </si>
  <si>
    <t>HIỆN TRẠNG</t>
  </si>
  <si>
    <t>Trị giá ship
(OLD)</t>
  </si>
  <si>
    <t>Trị giá ship
($)</t>
  </si>
  <si>
    <t>Trị giá NVL-Invoive
($)</t>
  </si>
  <si>
    <t>NK-US/26.0501</t>
  </si>
  <si>
    <t xml:space="preserve">DPDMT: 18KY 30RD/1.038cts 2.52gr P10927-5.5mm </t>
  </si>
  <si>
    <t>Vỏ mặt</t>
  </si>
  <si>
    <t>P10927-5.5mm</t>
  </si>
  <si>
    <t>CH1-Khách</t>
  </si>
  <si>
    <t>Đã ship</t>
  </si>
  <si>
    <t>P60501</t>
  </si>
  <si>
    <t>18KBL: 18KY 20.67gr L10581 Size: 7in</t>
  </si>
  <si>
    <t>L10581</t>
  </si>
  <si>
    <t>SO26.10697-MO26.36391</t>
  </si>
  <si>
    <t>18KBL: 18KY 10.95gr L10234-05 Size: 6.5in</t>
  </si>
  <si>
    <t>18KBL</t>
  </si>
  <si>
    <t>L10234-05</t>
  </si>
  <si>
    <t>CH1-SR</t>
  </si>
  <si>
    <t>Đã lên danh sách ship</t>
  </si>
  <si>
    <t>SO26.10493-MO26.35681</t>
  </si>
  <si>
    <t>NK-US/26.0502</t>
  </si>
  <si>
    <t xml:space="preserve">DIAPD: 18KW 56RD/0.287cts+1PS/0.187cts 5.13gr O10194 </t>
  </si>
  <si>
    <t>O10194</t>
  </si>
  <si>
    <t>SO25.10008-MO26.364</t>
  </si>
  <si>
    <t>NK-US/26.0503</t>
  </si>
  <si>
    <t>18KBL: 18KY 11.57gr L10234-06 Size: 6.5in</t>
  </si>
  <si>
    <t>L10234-06</t>
  </si>
  <si>
    <t>SO26.10493-MO26.35682</t>
  </si>
  <si>
    <t>18KBL: 18KY 11.52gr L10234-07 Size: 6.5in</t>
  </si>
  <si>
    <t>L10234-07</t>
  </si>
  <si>
    <t>SO26.10493-MO26.35683</t>
  </si>
  <si>
    <t xml:space="preserve">18KER: 18KY 2.81gr E11032-02 </t>
  </si>
  <si>
    <t>18KER</t>
  </si>
  <si>
    <t>E11032-02</t>
  </si>
  <si>
    <t>P60503</t>
  </si>
  <si>
    <t>SO25.9496-MO25.34187</t>
  </si>
  <si>
    <t xml:space="preserve">18KER: 18KY 1.7gr E11042-03 </t>
  </si>
  <si>
    <t>E11042-03</t>
  </si>
  <si>
    <t>SO25.9384-MO25.33754</t>
  </si>
  <si>
    <t xml:space="preserve">18KER: 18KY 2.41gr E11058-03 </t>
  </si>
  <si>
    <t>E11058-03</t>
  </si>
  <si>
    <t>SO25.9498-MO25.34706</t>
  </si>
  <si>
    <t>LGRIMT: 18KY 2TD/0.44cts 4.71gr B12779-10.5*6.8mm-02 Size: 8</t>
  </si>
  <si>
    <t>LGRIMT</t>
  </si>
  <si>
    <t>B12779-10.5*6.8mm-02</t>
  </si>
  <si>
    <t>SO25.10258-MO25.34969</t>
  </si>
  <si>
    <t>LGRIMT: 18KY 2BG/0.188cts+2PS/0.107cts 2.93gr B12753-9.3*5.9mm Size: 7</t>
  </si>
  <si>
    <t>B12753-9.3*5.9mm</t>
  </si>
  <si>
    <t>SO25.10258-MO26.35143</t>
  </si>
  <si>
    <t>LGRIMT: 18KY 4RD/0.075cts+2PS/0.127cts 3.57gr B12774-10.6*6.7mm-02 Size: 8</t>
  </si>
  <si>
    <t>B12774-10.6*6.7mm-02</t>
  </si>
  <si>
    <t>SO25.10258-MO25.34959</t>
  </si>
  <si>
    <t>LGRIMT: 18KY 26RD/0.253cts+4MQ/0.233cts 3.32gr B12773-10.8*8.6mm-02 Size: 8</t>
  </si>
  <si>
    <t>B12773-10.8*8.6mm-02</t>
  </si>
  <si>
    <t>SO25.10258-MO25.34957</t>
  </si>
  <si>
    <t>LGRIMT: 18KY 2RD/0.224cts+4MQ/0.118cts 4.74gr B12822-11.8*9.2mm-02 Size: 7.5</t>
  </si>
  <si>
    <t>B12822-11.8*9.2mm-02</t>
  </si>
  <si>
    <t>SO26.10565-MO26.36023</t>
  </si>
  <si>
    <t>LGRIMT: 18KY 2RD/0.219cts+4MQ/0.115cts 4.84gr B12823-14.1*8.8mm-02 Size: 7.5</t>
  </si>
  <si>
    <t>B12823-14.1*8.8mm-02</t>
  </si>
  <si>
    <t>SO26.10565-MO26.36025</t>
  </si>
  <si>
    <t>NK-US/26.0504</t>
  </si>
  <si>
    <t>PT900RI: PT900PD 4.34gr D10670 Size: 3.5</t>
  </si>
  <si>
    <t>PT900PD</t>
  </si>
  <si>
    <t>PT900RI</t>
  </si>
  <si>
    <t>D10670</t>
  </si>
  <si>
    <t>SO26.10687-MO26.36376</t>
  </si>
  <si>
    <t>PT900RI: PT900PD 5.37gr D10670 Size: 4.75</t>
  </si>
  <si>
    <t>SO26.10687-MO26.36377</t>
  </si>
  <si>
    <t xml:space="preserve">ERMTG: 14KY 5.1gr E11128 </t>
  </si>
  <si>
    <t>ERMTG</t>
  </si>
  <si>
    <t>E11128</t>
  </si>
  <si>
    <t>SO26.10628-MO26.3616</t>
  </si>
  <si>
    <t>DIARI: 14KY 7RD/0.367cts 11.08gr D11063 Size: 8</t>
  </si>
  <si>
    <t>D11063</t>
  </si>
  <si>
    <t>SO26.10479-MO26.35647</t>
  </si>
  <si>
    <t>DRIMT: 18KW 26RD/0.297cts 3.3gr B12850-10.17*6.38mm Size: 6</t>
  </si>
  <si>
    <t>B12850-10.17*6.38mm</t>
  </si>
  <si>
    <t>SO26.10572-MO26.36003</t>
  </si>
  <si>
    <t>DIARI: 18KW 39RD/0.185cts 2.5gr D12850 Size: 6</t>
  </si>
  <si>
    <t>D12850</t>
  </si>
  <si>
    <t>SO26.10572-MO26.36005</t>
  </si>
  <si>
    <t>DRIMT: 18KR 10RD/0.338cts 3.55gr B12857-13.73x8.39mm Size: 4.5</t>
  </si>
  <si>
    <t>B12857-13.73x8.39mm</t>
  </si>
  <si>
    <t>SO26.10703-MO26.36408</t>
  </si>
  <si>
    <t>XTP-AG.26/0501</t>
  </si>
  <si>
    <t>[DHAG-26/03/02]</t>
  </si>
  <si>
    <t>18KW: LAC BI KHAC CHU S-CARO BBW2.56 47.91GR, SIZE:16.5</t>
  </si>
  <si>
    <t>BBW2.56-TT</t>
  </si>
  <si>
    <t>SO[DHAG-26/03/02]-MO</t>
  </si>
  <si>
    <t>NK-US/26.0505</t>
  </si>
  <si>
    <t>RIMTG: 14KY 3.1gr B12817-11.0*7.5mm-02 Size: 5.5</t>
  </si>
  <si>
    <t>B12817-11.0*7.5mm-02</t>
  </si>
  <si>
    <t>Ba Sao</t>
  </si>
  <si>
    <t>SO26.10444-MO26.36466</t>
  </si>
  <si>
    <t xml:space="preserve">18KER: 18KY 3.52gr E11138 </t>
  </si>
  <si>
    <t>E11138</t>
  </si>
  <si>
    <t>SO26.10695-MO26.36389</t>
  </si>
  <si>
    <t xml:space="preserve">PT900ER: PT900PD 5.17gr E11136 </t>
  </si>
  <si>
    <t>PT900ER</t>
  </si>
  <si>
    <t>E11136</t>
  </si>
  <si>
    <t>SO26.10436-MO26.35616</t>
  </si>
  <si>
    <t>LGRIMT: PT900PD 38RD/0.504cts 5.31gr B12856-11.7x8.7mm Size: 7</t>
  </si>
  <si>
    <t>B12856-11.7x8.7mm</t>
  </si>
  <si>
    <t>SO25.981-MO25.33563</t>
  </si>
  <si>
    <t>NK-US/26.0506</t>
  </si>
  <si>
    <t>DRIMT: 18KR 20RD/1.513cts 5.17gr B12858-8.89x8.84mm Size: 4</t>
  </si>
  <si>
    <t>B12858-8.89x8.84mm</t>
  </si>
  <si>
    <t>XT P60502</t>
  </si>
  <si>
    <t>SO26.10639-MO26.36179</t>
  </si>
  <si>
    <t>[DHAG-25/08/05]</t>
  </si>
  <si>
    <t>18KW: DAY BI KHAC CARO CBW2.5 43.10GR, SIZE:51</t>
  </si>
  <si>
    <t>CBW2.5</t>
  </si>
  <si>
    <t>SO[DHAG-25/08/05]-MO</t>
  </si>
  <si>
    <t>18KW: DAY MI DEP XOAN 30.35GR CW30HT1, SIZE: 46</t>
  </si>
  <si>
    <t>CW30HT1</t>
  </si>
  <si>
    <t>NK-US/26.0507</t>
  </si>
  <si>
    <t>RIMTG: 18KW 3.1gr B12861-7.55*7.59mm Size: 4.75</t>
  </si>
  <si>
    <t>B12861-7.55*7.59mm</t>
  </si>
  <si>
    <t>SO26.10665-MO26.36345</t>
  </si>
  <si>
    <t>RIMTG: 18KY 3.01gr B12859-15.07*7.6mm Size: 3</t>
  </si>
  <si>
    <t>B12859-15.07*7.6mm</t>
  </si>
  <si>
    <t>SO26.10555-MO26.35947</t>
  </si>
  <si>
    <t>18KRI: 18KY 11.75gr D11064 Size: 10.5</t>
  </si>
  <si>
    <t>18KRI</t>
  </si>
  <si>
    <t>D11064</t>
  </si>
  <si>
    <t>SO26.10711-MO26.36423</t>
  </si>
  <si>
    <t>18KBG: 18KY 18.66gr G10318 Size: 61</t>
  </si>
  <si>
    <t>18KBG</t>
  </si>
  <si>
    <t>G10318</t>
  </si>
  <si>
    <t>SO26.1059-MO26.36056</t>
  </si>
  <si>
    <t>18KBL: 18KWY 50.4gr L10250 Size: 7.4in</t>
  </si>
  <si>
    <t>18KWY</t>
  </si>
  <si>
    <t>L10250</t>
  </si>
  <si>
    <t>SO26.10629-MO26.36171</t>
  </si>
  <si>
    <t>18KBL: 18KY 21.24gr L10581-06 Size: 6.5in</t>
  </si>
  <si>
    <t>L10581-06</t>
  </si>
  <si>
    <t>SO26.10492-MO26.35669</t>
  </si>
  <si>
    <t>18KBL: 18KY 21.83gr L10581-07 Size: 6.5in</t>
  </si>
  <si>
    <t>L10581-07</t>
  </si>
  <si>
    <t>SO26.10492-MO26.3567</t>
  </si>
  <si>
    <t>DIARI: 18KY 1PR/0.097cts 7.45gr D10915 Size: 7.5</t>
  </si>
  <si>
    <t>D10915</t>
  </si>
  <si>
    <t>SO26.10731-MO26.36462</t>
  </si>
  <si>
    <t>DIARI: 18KY 1PR/0.095cts 7.61gr D10915 Size: 8</t>
  </si>
  <si>
    <t>SO26.10731-MO26.36463</t>
  </si>
  <si>
    <t>DRIMT: 18KY 10RD/0.336cts+20BG/0.223cts 9.37gr D12860-5.0mm Size: 4.5</t>
  </si>
  <si>
    <t>D12860-5.0mm</t>
  </si>
  <si>
    <t>SO26.10714-MO26.36428</t>
  </si>
  <si>
    <t>NK-US/26.0508</t>
  </si>
  <si>
    <t>LGDRI: 14KY 10RD/0.038cts 3.58gr D12836 Size: 5</t>
  </si>
  <si>
    <t>LGDRI</t>
  </si>
  <si>
    <t>D12836</t>
  </si>
  <si>
    <t>ADM</t>
  </si>
  <si>
    <t>SO26.10646-MO26.36189</t>
  </si>
  <si>
    <t>LGRIMT: 18KY 68RD/0.45cts 3.32gr B12862-10.13*7.0mm Size: 5.5</t>
  </si>
  <si>
    <t>B12862-10.13*7.0mm</t>
  </si>
  <si>
    <t>SO26.10545-MO26.35881</t>
  </si>
  <si>
    <t xml:space="preserve">24KPD: 24K 11.11gr P11329 </t>
  </si>
  <si>
    <t>24K</t>
  </si>
  <si>
    <t>24KPD</t>
  </si>
  <si>
    <t>P11329</t>
  </si>
  <si>
    <t>SO26.10707-MO26.36414</t>
  </si>
  <si>
    <t>RIMTG: 14KY 8.43gr B12854-4.5*2.7mm Size: 7.5</t>
  </si>
  <si>
    <t>B12854-4.5*2.7mm</t>
  </si>
  <si>
    <t>SO26.10647-MO26.36186</t>
  </si>
  <si>
    <t>NK-US/26.0509</t>
  </si>
  <si>
    <t>109886</t>
  </si>
  <si>
    <t xml:space="preserve">18KACC: 18KY 3.97gr O10148 </t>
  </si>
  <si>
    <t>18KACC</t>
  </si>
  <si>
    <t>O10148</t>
  </si>
  <si>
    <t>SO26.10738-MO26.36484</t>
  </si>
  <si>
    <t>109887</t>
  </si>
  <si>
    <t>18KCH: 18KY 49.02gr C10141 Size: 24in</t>
  </si>
  <si>
    <t>C10141</t>
  </si>
  <si>
    <t>SO26.10662-MO26.36343</t>
  </si>
  <si>
    <t>109888</t>
  </si>
  <si>
    <t>RIMTG: 18KY 3.7gr B12826-9.7*7.7mm-02 Size: 7.5</t>
  </si>
  <si>
    <t>B12826-9.7*7.7mm-02</t>
  </si>
  <si>
    <t>SO26.10563-MO26.36015</t>
  </si>
  <si>
    <t>109889</t>
  </si>
  <si>
    <t>RIMTG: 18KY 3.97gr B12821-14.1*8.8mm-02 Size: 7.5</t>
  </si>
  <si>
    <t>B12821-14.1*8.8mm-02</t>
  </si>
  <si>
    <t>SO26.10564-MO26.36021</t>
  </si>
  <si>
    <t>109890</t>
  </si>
  <si>
    <t>RIMTG: 18KY 3.85gr B12827-14.1*8.8mm-02 Size: 7.5</t>
  </si>
  <si>
    <t>B12827-14.1*8.8mm-02</t>
  </si>
  <si>
    <t>SO26.10563-MO26.36017</t>
  </si>
  <si>
    <t>110064</t>
  </si>
  <si>
    <t>RIMTG: 18KY 5.66gr B12800-15.6*7.8mm Size: 7.5</t>
  </si>
  <si>
    <t>B12800-15.6*7.8mm</t>
  </si>
  <si>
    <t>SO26.10583-MO26.36026</t>
  </si>
  <si>
    <t>110065</t>
  </si>
  <si>
    <t xml:space="preserve">18KPD: 18KY 0.65gr P11273-01 </t>
  </si>
  <si>
    <t>P11273-01</t>
  </si>
  <si>
    <t>SO25.9673-MO25.33348</t>
  </si>
  <si>
    <t>110066</t>
  </si>
  <si>
    <t xml:space="preserve">18KPD: 18KY 0.64gr P11273-02 </t>
  </si>
  <si>
    <t>P11273-02</t>
  </si>
  <si>
    <t>SO25.9673-MO25.33349</t>
  </si>
  <si>
    <t>110067</t>
  </si>
  <si>
    <t xml:space="preserve">18KER: 18KY 3.76gr E10895 </t>
  </si>
  <si>
    <t>E10895</t>
  </si>
  <si>
    <t>SO25.9307-MO25.3245</t>
  </si>
  <si>
    <t>110068</t>
  </si>
  <si>
    <t xml:space="preserve">18KER: 18KY 3.8gr E10895-02 </t>
  </si>
  <si>
    <t>E10895-02</t>
  </si>
  <si>
    <t>SO25.9307-MO25.33768</t>
  </si>
  <si>
    <t>NK-US/26.0510</t>
  </si>
  <si>
    <t>110069</t>
  </si>
  <si>
    <t>RIMTG: 10KY 4.45gr B12864-12.4*9.16mm Size: 7.5</t>
  </si>
  <si>
    <t>10KY</t>
  </si>
  <si>
    <t>B12864-12.4*9.16mm</t>
  </si>
  <si>
    <t>SO26.10506-MO26.36079</t>
  </si>
  <si>
    <t>110070</t>
  </si>
  <si>
    <t>RIMTG: 18KW 4.24gr B12824-14.0*8.3mm-02 Size: 7.5</t>
  </si>
  <si>
    <t>B12824-14.0*8.3mm-02</t>
  </si>
  <si>
    <t>SO26.10561-MO26.35981</t>
  </si>
  <si>
    <t>110071</t>
  </si>
  <si>
    <t>RIMTG: 18KW 4.24gr B12828-14.0*8.3mm-01 Size: 7.5</t>
  </si>
  <si>
    <t>B12828-14.0*8.3mm-01</t>
  </si>
  <si>
    <t>SO26.10562-MO26.35984</t>
  </si>
  <si>
    <t>110072</t>
  </si>
  <si>
    <t>RIMTG: 18KW 4.04gr B12829-15.5*8.1mm-01 Size: 7.5</t>
  </si>
  <si>
    <t>B12829-15.5*8.1mm-01</t>
  </si>
  <si>
    <t>SO26.10562-MO26.35986</t>
  </si>
  <si>
    <t>110073</t>
  </si>
  <si>
    <t>RIMTG: 18KW 3.72gr B12826-9.7*7.7mm-01 Size: 7.5</t>
  </si>
  <si>
    <t>B12826-9.7*7.7mm-01</t>
  </si>
  <si>
    <t>SO26.10563-MO26.36014</t>
  </si>
  <si>
    <t>110074</t>
  </si>
  <si>
    <t>RIMTG: 18KY 4.08gr B12824-14.0*8.3mm-01 Size: 7.5</t>
  </si>
  <si>
    <t>B12824-14.0*8.3mm-01</t>
  </si>
  <si>
    <t>SO26.10561-MO26.3598</t>
  </si>
  <si>
    <t>110075</t>
  </si>
  <si>
    <t>RIMTG: 18KY 3.66gr B12825-15.5*8.1mm-02 Size: 7.5</t>
  </si>
  <si>
    <t>B12825-15.5*8.1mm-02</t>
  </si>
  <si>
    <t>SO26.10561-MO26.35983</t>
  </si>
  <si>
    <t>110076</t>
  </si>
  <si>
    <t>RIMTG: 18KY 3.84gr B12829-15.5*8.1mm-02 Size: 7.5</t>
  </si>
  <si>
    <t>B12829-15.5*8.1mm-02</t>
  </si>
  <si>
    <t>SO26.10562-MO26.35987</t>
  </si>
  <si>
    <t>110077</t>
  </si>
  <si>
    <t>RIMTG: 18KY 3.49gr B12820-9.7*2.7mm-02 Size: 7.5</t>
  </si>
  <si>
    <t>B12820-9.7*2.7mm-02</t>
  </si>
  <si>
    <t>SO26.10564-MO26.36019</t>
  </si>
  <si>
    <t>110078</t>
  </si>
  <si>
    <t>DRIMT: 18KW 36RD/0.641cts 3.26gr B12833-4.5mm-01 Size: 5</t>
  </si>
  <si>
    <t>B12833-4.5mm-01</t>
  </si>
  <si>
    <t>SO26.10416-MO26.35527</t>
  </si>
  <si>
    <t>110079</t>
  </si>
  <si>
    <t xml:space="preserve">DIAER: 18KW 20RD/0.128cts 2.81gr E11117-01 </t>
  </si>
  <si>
    <t>E11117-01</t>
  </si>
  <si>
    <t>SO25.10228-MO25.34822</t>
  </si>
  <si>
    <t>110080</t>
  </si>
  <si>
    <t xml:space="preserve">DERMT: 18KW 36RD/0.286cts+24BG/0.256cts+12MQ/0.287cts 3.43gr E11093-4.3mm </t>
  </si>
  <si>
    <t>E11093-4.3mm</t>
  </si>
  <si>
    <t>SO25.10017-MO25.34223</t>
  </si>
  <si>
    <t>NK-US/26.0511</t>
  </si>
  <si>
    <t>110081</t>
  </si>
  <si>
    <t>RIMTG: 18KY 4.28gr B12865-8.72*6.14 Size: 4.5</t>
  </si>
  <si>
    <t>B12865-8.72*6.14</t>
  </si>
  <si>
    <t>SO26.10634-MO26.36166</t>
  </si>
  <si>
    <t>110082</t>
  </si>
  <si>
    <t>RIMTG: 18KW 3.88gr B12827-14.1*8.8mm-01 Size: 7.5</t>
  </si>
  <si>
    <t>B12827-14.1*8.8mm-01</t>
  </si>
  <si>
    <t>SO26.10563-MO26.36016</t>
  </si>
  <si>
    <t>110083</t>
  </si>
  <si>
    <t>RIMTG: 18KW 3.93gr B12821-14.1*8.8mm-01 Size: 7.5</t>
  </si>
  <si>
    <t>B12821-14.1*8.8mm-01</t>
  </si>
  <si>
    <t>SO26.10564-MO26.3602</t>
  </si>
  <si>
    <t>110084</t>
  </si>
  <si>
    <t>RIMTG: 18KY 4.02gr B12828-14.0*8.3mm-02 Size: 7.5</t>
  </si>
  <si>
    <t>B12828-14.0*8.3mm-02</t>
  </si>
  <si>
    <t>SO26.10562-MO26.35985</t>
  </si>
  <si>
    <t>110085</t>
  </si>
  <si>
    <t>DRIMT: 18KW 38RD/1.019cts 3.92gr B12833-6.5mm-02 Size: 5.5</t>
  </si>
  <si>
    <t>B12833-6.5mm-02</t>
  </si>
  <si>
    <t>SO26.10416-MO26.35532</t>
  </si>
  <si>
    <t>NK-US/26.0512</t>
  </si>
  <si>
    <t xml:space="preserve">18KPD: 18KY 1.39gr P11261-02 </t>
  </si>
  <si>
    <t>P11261-02</t>
  </si>
  <si>
    <t>SO25.9671-MO25.33344</t>
  </si>
  <si>
    <t xml:space="preserve">18KPD: 18KWY 13.81gr H10175-01 </t>
  </si>
  <si>
    <t>H10175-01</t>
  </si>
  <si>
    <t>SO26.1071-MO26.36422</t>
  </si>
  <si>
    <t xml:space="preserve">18KPD: 18KWY 13.87gr H10175-02 </t>
  </si>
  <si>
    <t>H10175-02</t>
  </si>
  <si>
    <t>SO26.1071-MO26.36465</t>
  </si>
  <si>
    <t xml:space="preserve">18KER: 18KY 5gr E11025 </t>
  </si>
  <si>
    <t>E11025</t>
  </si>
  <si>
    <t>SO26.10736-MO26.36482</t>
  </si>
  <si>
    <t>18KBL: 18KY 32.8gr L10480 Size: 17cm</t>
  </si>
  <si>
    <t>L10480</t>
  </si>
  <si>
    <t>SO26.10735-MO26.36473</t>
  </si>
  <si>
    <t>18KBL: 18KW 11.94gr L10455 Size: 15.25cm</t>
  </si>
  <si>
    <t>L10455</t>
  </si>
  <si>
    <t>SO26.10735-MO26.36474</t>
  </si>
  <si>
    <t>LGRIMT: 18KY 24RD/0.154cts+2MQ/0.060cts 3.12gr B12863-7.8*7.8mm Size: 3.75</t>
  </si>
  <si>
    <t>B12863-7.8*7.8mm</t>
  </si>
  <si>
    <t>SO26.1066-MO26.36342</t>
  </si>
  <si>
    <t>RIMTG: 18KW 3.57gr B12825-15.5*8.1mm-01 Size: 7.5</t>
  </si>
  <si>
    <t>B12825-15.5*8.1mm-01</t>
  </si>
  <si>
    <t>SO26.10561-MO26.35982</t>
  </si>
  <si>
    <t>RIMTG: 18KW 3.37gr B12820-9.7*7.7mm-01 Size: 7.5</t>
  </si>
  <si>
    <t>B12820-9.7*7.7mm-01</t>
  </si>
  <si>
    <t>SO26.10564-MO26.36018</t>
  </si>
  <si>
    <t>18KBL: 18KW 11.38gr L10234-01 Size: 6.5in</t>
  </si>
  <si>
    <t>L10234-01</t>
  </si>
  <si>
    <t>SO26.10493-MO26.35677</t>
  </si>
  <si>
    <t>18KBL: 18KW 11.66gr L10234-02 Size: 6.5in</t>
  </si>
  <si>
    <t>L10234-02</t>
  </si>
  <si>
    <t>SO26.10493-MO26.35678</t>
  </si>
  <si>
    <t>18KBL: 18KW 27.67gr L10234-10 Size: 6.5in</t>
  </si>
  <si>
    <t>L10234-10</t>
  </si>
  <si>
    <t>SO26.10493-MO26.35686</t>
  </si>
  <si>
    <t xml:space="preserve">18KER: 18KY 4.89gr E10829-02 </t>
  </si>
  <si>
    <t>E10829-02</t>
  </si>
  <si>
    <t>SO25.949-MO25.32827</t>
  </si>
  <si>
    <t xml:space="preserve">18KPD: 18KY 1.39gr P11261-03 </t>
  </si>
  <si>
    <t>P11261-03</t>
  </si>
  <si>
    <t>SO25.9671-MO25.33345</t>
  </si>
  <si>
    <t>NK-US/26.0513</t>
  </si>
  <si>
    <t>110097</t>
  </si>
  <si>
    <t>LGRIMT: 18KY 18RD/0.356cts+2HS.0.404cts 3.82gr B12866-13.0*8.85mm Size: 5.25</t>
  </si>
  <si>
    <t>B12866-13.0*8.85mm</t>
  </si>
  <si>
    <t>XT P60601</t>
  </si>
  <si>
    <t>SO25.9802-MO26.36515</t>
  </si>
  <si>
    <t>110098</t>
  </si>
  <si>
    <t>18KBL: 18KW 14.13gr L10581-01 Size: 6.5in</t>
  </si>
  <si>
    <t>L10581-01</t>
  </si>
  <si>
    <t>SO26.10492-MO26.35665</t>
  </si>
  <si>
    <t>110099</t>
  </si>
  <si>
    <t>18KRI: 18KY 6.87gr D10904-01 Size: 7</t>
  </si>
  <si>
    <t>D10904-01</t>
  </si>
  <si>
    <t>SO25.9956-MO25.34027</t>
  </si>
  <si>
    <t>110100</t>
  </si>
  <si>
    <t xml:space="preserve">18KER: 18KY 5.41gr E10829 </t>
  </si>
  <si>
    <t>E10829</t>
  </si>
  <si>
    <t>SO25.9496-MO26.35707</t>
  </si>
  <si>
    <t>110101</t>
  </si>
  <si>
    <t xml:space="preserve">18KER: 18KY 3.41gr E11040-02 </t>
  </si>
  <si>
    <t>E11040-02</t>
  </si>
  <si>
    <t>SO25.9382-MO25.32563</t>
  </si>
  <si>
    <t>NK-US/26.0514</t>
  </si>
  <si>
    <t>DRIMT: 18KY 26RD/0.432cts 4.15gr B12868-13.68*6.71mm 6.75</t>
  </si>
  <si>
    <t>B12868-13.68*6.71mm</t>
  </si>
  <si>
    <t>SO25.10741-MO26.36496</t>
  </si>
  <si>
    <t>LGDRI: 18KY 8RD/0.216cts 2.38gr D12684-02 Size: 3.75</t>
  </si>
  <si>
    <t>D12684-02</t>
  </si>
  <si>
    <t>P60602</t>
  </si>
  <si>
    <t>SO25.9543-MO26.35235</t>
  </si>
  <si>
    <t>RIMTG: 18KY 3.77gr B12684-11.53*5.96mm-02 Size: 3.75</t>
  </si>
  <si>
    <t>B12684-11.53*5.96mm-02</t>
  </si>
  <si>
    <t>SO25.9543-MO26.35542</t>
  </si>
  <si>
    <t>RIMTG: 18KW 3.14gr B12001-6.4mm Size: 6</t>
  </si>
  <si>
    <t>B12001-6.4mm</t>
  </si>
  <si>
    <t>SO26.1081-MO26.36585</t>
  </si>
  <si>
    <t>18KRI: 18KY 7.53gr D10904-02 Size: 7</t>
  </si>
  <si>
    <t>D10904-02</t>
  </si>
  <si>
    <t>SO25.9956-MO25.34028</t>
  </si>
  <si>
    <t>18KRI: 18KY 7.47gr D10904-03 Size: 7</t>
  </si>
  <si>
    <t>D10904-03</t>
  </si>
  <si>
    <t>SO25.9956-MO25.34029</t>
  </si>
  <si>
    <t xml:space="preserve">18KER: 18KY 3.51gr E11040-03 </t>
  </si>
  <si>
    <t>E11040-03</t>
  </si>
  <si>
    <t>SO25.9382-MO25.33756</t>
  </si>
  <si>
    <t>18KW: DAY BI KHAC CARO CBW2.5 69.08GR, SIZE:46-51</t>
  </si>
  <si>
    <t>NK-US/26.0515</t>
  </si>
  <si>
    <t>110109</t>
  </si>
  <si>
    <t>PT900RI: PT900PD 4.44gr D10995 Size: 3.5</t>
  </si>
  <si>
    <t>D10995</t>
  </si>
  <si>
    <t>SO26.10743-MO26.36499</t>
  </si>
  <si>
    <t>110110</t>
  </si>
  <si>
    <t>18KRI: 18KY 5.96gr D10783 Size: 8</t>
  </si>
  <si>
    <t>D10783</t>
  </si>
  <si>
    <t>SO26.10792-MO26.36555</t>
  </si>
  <si>
    <t>110111</t>
  </si>
  <si>
    <t>18KRI: 18KY 3.18gr D10670 Size: 5</t>
  </si>
  <si>
    <t>SO26.108-MO26.36579</t>
  </si>
  <si>
    <t>110112</t>
  </si>
  <si>
    <t>18KRI: 18KY 6.11gr D10670 Size: 8.25</t>
  </si>
  <si>
    <t>SO26.108-MO26.3658</t>
  </si>
  <si>
    <t>110113</t>
  </si>
  <si>
    <t xml:space="preserve">18KER: 18KW 1.51gr E11140-01 </t>
  </si>
  <si>
    <t>E11140-01</t>
  </si>
  <si>
    <t>SO26.10742-MO26.36497</t>
  </si>
  <si>
    <t>110114</t>
  </si>
  <si>
    <t xml:space="preserve">18KER: 18KW 1.53gr E11140-02 </t>
  </si>
  <si>
    <t>E11140-02</t>
  </si>
  <si>
    <t>SO26.10742-MO26.36498</t>
  </si>
  <si>
    <t>110115</t>
  </si>
  <si>
    <t xml:space="preserve">18KER: 18KY 3.52gr E10899 </t>
  </si>
  <si>
    <t>E10899</t>
  </si>
  <si>
    <t>SO25.9311-MO25.32454</t>
  </si>
  <si>
    <t>110116</t>
  </si>
  <si>
    <t xml:space="preserve">18KER: 18KY 3.48gr E10899-02 </t>
  </si>
  <si>
    <t>E10899-02</t>
  </si>
  <si>
    <t>SO25.9311-MO25.3376</t>
  </si>
  <si>
    <t>110117</t>
  </si>
  <si>
    <t>18KBL: 18KY 5Mã não đen/9.815cts 10.59gr L10448 Size: 19cm</t>
  </si>
  <si>
    <t>L10448</t>
  </si>
  <si>
    <t>SO26.10789-MO26.36548</t>
  </si>
  <si>
    <t>XTP-AG.26/0505</t>
  </si>
  <si>
    <t xml:space="preserve">CHÀO HÀNG </t>
  </si>
  <si>
    <t>18KY: LAC BI KHAC LONG DEN-XOAY-CARO 7.40GR, SIZE:16,5</t>
  </si>
  <si>
    <t>750Y</t>
  </si>
  <si>
    <t>BBY368</t>
  </si>
  <si>
    <t>SOCHÀO HÀNG -MO</t>
  </si>
  <si>
    <t>18KY: LAC BI KHAC XOAY-CARO 14.42GR, SIZE:16,5</t>
  </si>
  <si>
    <t>BBY23</t>
  </si>
  <si>
    <t>18KY: LAC BI KHAC XOAY 17.57GR, SIZE:16,5</t>
  </si>
  <si>
    <t>BBY2.5</t>
  </si>
  <si>
    <t>NK-US/26.0516</t>
  </si>
  <si>
    <t>110118</t>
  </si>
  <si>
    <t xml:space="preserve">DIACC: 18KWY 39RD/0.960cts+1Pearl/3.744cts 16.58gr H10176  </t>
  </si>
  <si>
    <t>DIACC</t>
  </si>
  <si>
    <t>H10176</t>
  </si>
  <si>
    <t>SO26.10709-MO26.36421</t>
  </si>
  <si>
    <t>110119</t>
  </si>
  <si>
    <t>18KBL: 18KW 31.28gr L10234-12 Size: 6.5in</t>
  </si>
  <si>
    <t>L10234-12</t>
  </si>
  <si>
    <t>SO26.10493-MO26.35688</t>
  </si>
  <si>
    <t>110120</t>
  </si>
  <si>
    <t>18KCH: 18KY 22.44gr C10045-02 Size: 18in</t>
  </si>
  <si>
    <t>C10045-02</t>
  </si>
  <si>
    <t>SO25.10045-MO25.34318</t>
  </si>
  <si>
    <t>18KRI: 18KY 3.41gr D10670 Size: 5.5</t>
  </si>
  <si>
    <t>SO26.10799-MO26.36575</t>
  </si>
  <si>
    <t>18KRI: 18KY 6.28gr D10670 Size: 8.5</t>
  </si>
  <si>
    <t>SO26.10799-MO26.36576</t>
  </si>
  <si>
    <t>18KRI: 18KY 3.26gr D10670 Size: 5</t>
  </si>
  <si>
    <t>SO26.10799-MO26.36571</t>
  </si>
  <si>
    <t>18KRI: 18KY 6.68gr D10670 Size: 8</t>
  </si>
  <si>
    <t>SO26.10799-MO26.36572</t>
  </si>
  <si>
    <t>18KRI: 18KW 3.45gr D10670-02 Size: 5</t>
  </si>
  <si>
    <t>D10670-02</t>
  </si>
  <si>
    <t>SO26.10799-MO26.36573</t>
  </si>
  <si>
    <t>18KRI: 18KW 6.08gr D10670-02 Size: 8</t>
  </si>
  <si>
    <t>SO26.10799-MO26.36574</t>
  </si>
  <si>
    <t>18KRI: 18KW 3.19gr D10670-02 Size: 5.5</t>
  </si>
  <si>
    <t>SO26.10799-MO26.36577</t>
  </si>
  <si>
    <t>18KRI: 18KW 6.46gr D10670-02 Size: 8.5</t>
  </si>
  <si>
    <t>SO26.10799-MO26.36578</t>
  </si>
  <si>
    <t>NK-US/26.0517</t>
  </si>
  <si>
    <t xml:space="preserve">DIAER: 18KY 2RD/0.028cts 5.5gr E11142 </t>
  </si>
  <si>
    <t>E11142</t>
  </si>
  <si>
    <t>SO26.10688-MO26.3642</t>
  </si>
  <si>
    <t xml:space="preserve">DIAER: 18KY 10RD/0.48cts 3.05gr E11141 </t>
  </si>
  <si>
    <t>E11141</t>
  </si>
  <si>
    <t>SO26.10798-MO26.3657</t>
  </si>
  <si>
    <t>18KBL: 18KY 7.56gr L10370-06 Size: 6.5in</t>
  </si>
  <si>
    <t>L10370-06</t>
  </si>
  <si>
    <t>SO25.10044-MO25.34278</t>
  </si>
  <si>
    <t>NK-US/26.0518</t>
  </si>
  <si>
    <t>24KCH: 24K 17.89gr C10102 Size: 17in</t>
  </si>
  <si>
    <t>24KCH</t>
  </si>
  <si>
    <t>C10102</t>
  </si>
  <si>
    <t>SO26.10797-MO26.36564</t>
  </si>
  <si>
    <t>LGRIMT: PT900PD 20RD/0.11cts 6.42gr B12871-8.11*8.14mm Size: 6.5</t>
  </si>
  <si>
    <t>B12871-8.11*8.14mm</t>
  </si>
  <si>
    <t>SO26.10633-MO26.36335</t>
  </si>
  <si>
    <t>NK-US/26.0601</t>
  </si>
  <si>
    <t>26.10748</t>
  </si>
  <si>
    <t>26.36504</t>
  </si>
  <si>
    <t>DIANL: 18KW 118RD/12.175cts 20.22gr N10286 Size: 15in</t>
  </si>
  <si>
    <t>N10286</t>
  </si>
  <si>
    <t>SO26.10748-MO26.36504</t>
  </si>
  <si>
    <t>SO-MO</t>
  </si>
  <si>
    <t/>
  </si>
  <si>
    <t>TỔNG HỢP SỐ LIỆU NHẬP KHO SẢN PHẨM HOÀN TẤT - THÁNG 06/2026</t>
  </si>
  <si>
    <t>NK-CH2/26.0602</t>
  </si>
  <si>
    <t>26.10843</t>
  </si>
  <si>
    <t>DIABL: 18KW 1RD/0.03cts 2.12gr L10623 Size: 16cm+2cm</t>
  </si>
  <si>
    <t>DIABL</t>
  </si>
  <si>
    <t>L10623</t>
  </si>
  <si>
    <t>NK-CH2/26.0603</t>
  </si>
  <si>
    <t>26.10813</t>
  </si>
  <si>
    <t>26.36592</t>
  </si>
  <si>
    <t>DIANL: 18KW 2RD/0.018cts 2.68gr N10291 Size: 14in</t>
  </si>
  <si>
    <t>N10291</t>
  </si>
  <si>
    <t>CH2-Khách</t>
  </si>
  <si>
    <t>NK-US/26.0602</t>
  </si>
  <si>
    <t>LGRIMT: 14KY 50RD/0.193cts 2.87gr B12872-13.33*7.05mm Size: 5</t>
  </si>
  <si>
    <t>B12872-13.33*7.05mm</t>
  </si>
  <si>
    <t>P60606</t>
  </si>
  <si>
    <t xml:space="preserve">PT900ACC: PT900PD 1.5gr O10193-10.57*7.79mm </t>
  </si>
  <si>
    <t>PT900ACC</t>
  </si>
  <si>
    <t>O10193-10.57*7.79mm</t>
  </si>
  <si>
    <t>SO25.9967-MO26.36616</t>
  </si>
  <si>
    <t>18KRI: 18KY 2.94gr D10682 Size: 6.25</t>
  </si>
  <si>
    <t>D10682</t>
  </si>
  <si>
    <t>SO26.10845-MO26.36629</t>
  </si>
  <si>
    <t>LGRIMT: 18KW 4RD/0.081cts+4MQ/0.184cts 2.13gr B12874-8.79*6.4mm Size: 5.25</t>
  </si>
  <si>
    <t>B12874-8.79*6.4mm</t>
  </si>
  <si>
    <t>SO26.10675-MO26.36409</t>
  </si>
  <si>
    <t>LGRIMT: 18KW 10RD/0.063cts+2PS/0.508cts 4.62gr B12873*12.01*8.23mm Size: 6</t>
  </si>
  <si>
    <t>B12873*12.01*8.23mm</t>
  </si>
  <si>
    <t>SO26.10818-MO26.36603</t>
  </si>
  <si>
    <t>DRIMT: 18KW 12RD/0.343cts 3gr B12066-6.5mm-01 Size: 6</t>
  </si>
  <si>
    <t>B12066-6.5mm-01</t>
  </si>
  <si>
    <t>SO26.10864-MO26.36633</t>
  </si>
  <si>
    <t>DIABL: 18KW 51RD/5.486cts 10.14gr L10546 Size: 6.5in</t>
  </si>
  <si>
    <t>L10546</t>
  </si>
  <si>
    <t>SO25.10151-MO25.3464</t>
  </si>
  <si>
    <t>18KCH: 18KY 19.25gr C10045-05 Size: 18in</t>
  </si>
  <si>
    <t>C10045-05</t>
  </si>
  <si>
    <t>SO25.10045-MO25.34321</t>
  </si>
  <si>
    <t>18KRI: 18KW 6.82gr D10904-04 Size: 7</t>
  </si>
  <si>
    <t>D10904-04</t>
  </si>
  <si>
    <t>SO25.9956-MO25.3403</t>
  </si>
  <si>
    <t>18KRI: 18KW 6.78gr D10904-05 Size: 7</t>
  </si>
  <si>
    <t>D10904-05</t>
  </si>
  <si>
    <t>SO25.9956-MO25.34031</t>
  </si>
  <si>
    <t xml:space="preserve">18KPD: 18KY 5.05gr P11154-08 </t>
  </si>
  <si>
    <t>P11154-08</t>
  </si>
  <si>
    <t>SO25.9882-MO25.33783</t>
  </si>
  <si>
    <t xml:space="preserve">18KPD: 18KY 5.03gr P11154-09 </t>
  </si>
  <si>
    <t>P11154-09</t>
  </si>
  <si>
    <t>SO25.9882-MO25.33784</t>
  </si>
  <si>
    <t>NK-US/26.0603</t>
  </si>
  <si>
    <t>LGRIMT: 14KY 20RD/0.075cts 3.48gr B12876-9.86*6.84mm Size: 6</t>
  </si>
  <si>
    <t>B12876-9.86*6.84mm</t>
  </si>
  <si>
    <t>SO26.10794-MO26.36559</t>
  </si>
  <si>
    <t>DRIMT: 18KW 12RD/0.344cts 3.02gr B12066-6.5mm-02 Size: 6</t>
  </si>
  <si>
    <t>B12066-6.5mm-02</t>
  </si>
  <si>
    <t>SO26.10864-MO26.36634</t>
  </si>
  <si>
    <t>18KRI: 18KW 2.21gr D10994-01 Size: 5.5</t>
  </si>
  <si>
    <t>D10994-01</t>
  </si>
  <si>
    <t>SO25.9708-MO25.33509</t>
  </si>
  <si>
    <t>18KRI: 18KY 2.26gr D10994-03 Size: 5.5</t>
  </si>
  <si>
    <t>D10994-03</t>
  </si>
  <si>
    <t>SO25.9708-MO25.33616</t>
  </si>
  <si>
    <t xml:space="preserve">18KPD: 18KW 1.44gr P11261 </t>
  </si>
  <si>
    <t>P11261</t>
  </si>
  <si>
    <t>SO25.9671-MO25.33619</t>
  </si>
  <si>
    <t>NK-US/26.0604</t>
  </si>
  <si>
    <t>DRIMT: PT900PD 14RD/0.362cts 4.22gr B12878-9.57*6.59mm Size: 6</t>
  </si>
  <si>
    <t>B12878-9.57*6.59mm</t>
  </si>
  <si>
    <t>SO26.10708-MO26.36416</t>
  </si>
  <si>
    <t>LGDRI: 18KW 4RD/0.095cts 6.52gr D11066 Size: 11.5</t>
  </si>
  <si>
    <t>D11066</t>
  </si>
  <si>
    <t>SO26.10716-MO26.36431</t>
  </si>
  <si>
    <t>DRIMT: 18KW 44RD/0.423cts 3.01gr B12674-4.5mm-02 Size: 5.5</t>
  </si>
  <si>
    <t>B12674-4.5mm-02</t>
  </si>
  <si>
    <t>SO26.10407-MO26.35492</t>
  </si>
  <si>
    <t xml:space="preserve">18KPD: 18KW 0.67gr P11273-03 </t>
  </si>
  <si>
    <t>P11273-03</t>
  </si>
  <si>
    <t>SO25.9673-MO25.33617</t>
  </si>
  <si>
    <t>NK-US/26.0605</t>
  </si>
  <si>
    <t>LGRIMT: 18KY 26RD/0.174cts+4MQ/0.194cts 3.07gr B12877-12.55*7.56mm Size: 5.75</t>
  </si>
  <si>
    <t>B12877-12.55*7.56mm</t>
  </si>
  <si>
    <t>SO26.10663-MO26.36344</t>
  </si>
  <si>
    <t>18KBG: 18KY 28.29gr G10519-02 Size: 50*43</t>
  </si>
  <si>
    <t>G10519-02</t>
  </si>
  <si>
    <t>SO26.10594-MO26.36558</t>
  </si>
  <si>
    <t>18KBL: 18KY 19.83gr L10581 Size: 8in</t>
  </si>
  <si>
    <t>SO26.10697-MO26.36651</t>
  </si>
  <si>
    <t xml:space="preserve">18KPD: 18KY 4.56gr P11353 </t>
  </si>
  <si>
    <t>P11353</t>
  </si>
  <si>
    <t>SO26.10862-MO26.36636</t>
  </si>
  <si>
    <t xml:space="preserve">18KPD: 18KY 4.98gr P11154-07 </t>
  </si>
  <si>
    <t>P11154-07</t>
  </si>
  <si>
    <t>SO25.9882-MO25.33782</t>
  </si>
  <si>
    <t>18KRI: 18KY 2.34gr D10994-02 Size: 5.5</t>
  </si>
  <si>
    <t>D10994-02</t>
  </si>
  <si>
    <t>SO25.9708-MO25.3351</t>
  </si>
  <si>
    <t xml:space="preserve">18KER: 18KW 1.77gr E11042-02 </t>
  </si>
  <si>
    <t>E11042-02</t>
  </si>
  <si>
    <t>SO25.9384-MO25.33753</t>
  </si>
  <si>
    <t>XTP-AG.26/0603</t>
  </si>
  <si>
    <t>[DHAG-26/05/03]</t>
  </si>
  <si>
    <t>18KY: DAY FRANCO VUONG 206.72GR CY60FS, SIZE:56-61</t>
  </si>
  <si>
    <t>CY60FS</t>
  </si>
  <si>
    <t>SO[DHAG-26/05/03]-MO</t>
  </si>
  <si>
    <t>18KY: DAY FRANCO VUONG 18.53GR CY60FS, SIZE:61</t>
  </si>
  <si>
    <t>NK-US/26.0606</t>
  </si>
  <si>
    <t xml:space="preserve">DIAPD: 18KW 19RD/0.129cts 0.82gr N10192 </t>
  </si>
  <si>
    <t>N10192</t>
  </si>
  <si>
    <t>SO26.10827-MO26.36619</t>
  </si>
  <si>
    <t>DRIMT: 18KW 44RD/0.422cts 3.01gr B12674-4.5mm-01 Size: 5</t>
  </si>
  <si>
    <t>B12674-4.5mm-01</t>
  </si>
  <si>
    <t>SO26.10407-MO26.35491</t>
  </si>
  <si>
    <t xml:space="preserve">DERMT: 18KW 112RD+MQ/1.257cts 6.29gr E11107-6.5mm </t>
  </si>
  <si>
    <t>E11107-6.5mm</t>
  </si>
  <si>
    <t>SO25.10256-MO25.34918</t>
  </si>
  <si>
    <t xml:space="preserve">18KER: 18KW 2.22gr E11059 </t>
  </si>
  <si>
    <t>E11059</t>
  </si>
  <si>
    <t>SO25.9497-MO25.32836</t>
  </si>
  <si>
    <t xml:space="preserve">18KER: 18KW 2.77gr E11032 </t>
  </si>
  <si>
    <t>E11032</t>
  </si>
  <si>
    <t>SO25.9496-MO25.32839</t>
  </si>
  <si>
    <t>XBH-AG2605-01</t>
  </si>
  <si>
    <t>US-0401</t>
  </si>
  <si>
    <t>18KR:DAY CONG KHE 36.85GR CR40CA4</t>
  </si>
  <si>
    <t>CR40CA4</t>
  </si>
  <si>
    <t>NK-US/26.0607</t>
  </si>
  <si>
    <t>18KRI: 18KY 16.47gr D11065 Size: 9.5</t>
  </si>
  <si>
    <t>D11065</t>
  </si>
  <si>
    <t>SO26.10872-MO26.36656</t>
  </si>
  <si>
    <t>18KRI: 18KY 3.19gr D11067 Size: 8.5</t>
  </si>
  <si>
    <t>D11067</t>
  </si>
  <si>
    <t>SO26.10811-MO26.3659</t>
  </si>
  <si>
    <t>18KRI: 18KW 3.26gr D10772 Size: 8.5</t>
  </si>
  <si>
    <t>D10772</t>
  </si>
  <si>
    <t>SO26.10875-MO26.36664</t>
  </si>
  <si>
    <t xml:space="preserve">18KER: 18KW 7.79gr E11144 </t>
  </si>
  <si>
    <t>E11144</t>
  </si>
  <si>
    <t>SO26.10812-MO26.36591</t>
  </si>
  <si>
    <t>LGDBL: 18KW 60RD/3.863cts 7.35gr L10540-02 Size: 6.5in</t>
  </si>
  <si>
    <t>LGDBL</t>
  </si>
  <si>
    <t>L10540-02</t>
  </si>
  <si>
    <t>SO25.10151-MO25.34643</t>
  </si>
  <si>
    <t>NK-US/26.0608</t>
  </si>
  <si>
    <t>LGRIMT: 18KW 6RD/0.200cts+8MQ/0.978cts 4.31gr B12881-12.3*9.3mm Size: 6.75</t>
  </si>
  <si>
    <t>B12881-12.3*9.3mm</t>
  </si>
  <si>
    <t>Đang QC-CQ</t>
  </si>
  <si>
    <t>SO26.10537-MO26.35828</t>
  </si>
  <si>
    <t>LGRIMT: 18KW 6RD/0.665cts 4.52gr B12887-11.8mm Size: 5.25</t>
  </si>
  <si>
    <t>B12887-11.8mm</t>
  </si>
  <si>
    <t>SO26.10823-MO26.36615</t>
  </si>
  <si>
    <t>18KBL: 18KY 3Đá lông công/9.182cts 14.5gr L10625 Size: 19cm</t>
  </si>
  <si>
    <t>L10625</t>
  </si>
  <si>
    <t>SO26.10816-MO26.36604</t>
  </si>
  <si>
    <t>TỔNG HỢP SỐ LIỆU NHẬP KHO SẢN PHẨM HOÀN TẤT - THÁNG 04/2026</t>
  </si>
  <si>
    <t>NK-CH3/26.0401</t>
  </si>
  <si>
    <t>RIMTG: 18KW 5.07gr B12818-4.8mm Size: 16VN</t>
  </si>
  <si>
    <t>B12818-4.8mm</t>
  </si>
  <si>
    <t>LƯƠNG QUANG HƯNG - CH3</t>
  </si>
  <si>
    <t>NK-CH2/26.0401</t>
  </si>
  <si>
    <t>RIMTG: 18KWYR 18.7gr B12838-8.1*8.18 Size: 8.25</t>
  </si>
  <si>
    <t>B12838-8.1*8.18</t>
  </si>
  <si>
    <t>XTP-AG.26/0403</t>
  </si>
  <si>
    <t>[DHAG-26/03/04]</t>
  </si>
  <si>
    <t>18KY: LAC BI KHAC KIEU LONG DEN BBY3 5.19GR, SIZE:16</t>
  </si>
  <si>
    <t>BBY3</t>
  </si>
  <si>
    <t>NGUYỄN MINH - CH3</t>
  </si>
  <si>
    <t>NK-CH3/26.0402</t>
  </si>
  <si>
    <t xml:space="preserve">DIAPD: 18KY 64RD/0.287cts 1.65gr P11042 </t>
  </si>
  <si>
    <t>P11042</t>
  </si>
  <si>
    <t>LỤC KIM HƯƠNG -CH3</t>
  </si>
  <si>
    <t>NK-CH2/26.0402</t>
  </si>
  <si>
    <t>DRIMT: 18KW 108RD/0.788cts 4.78gr B12845-9.26*9.19mm Size: 8.5VN</t>
  </si>
  <si>
    <t>B12845-9.26*9.19mm</t>
  </si>
  <si>
    <t>NGÔ ĐIỀN PHƯỢNG LINH - CH2</t>
  </si>
  <si>
    <t>NK-SPH/26.0401</t>
  </si>
  <si>
    <t>DPDMT:WHT 136RD/1.58CT 2RU/0.03CT 8.69gr P11348</t>
  </si>
  <si>
    <t>100405-1</t>
  </si>
  <si>
    <t>DIAPD:18KW 45RD/ 0.469cts 2gr P11349-01</t>
  </si>
  <si>
    <t>100405-2</t>
  </si>
  <si>
    <t>DIAPD:18KW 45RD/ 0.469cts 2.17gr P11349-02</t>
  </si>
  <si>
    <t>100405-3</t>
  </si>
  <si>
    <t>DIAER:18KW 16RD/ 0.192cts 1.7gr E11129</t>
  </si>
  <si>
    <t>100404-1</t>
  </si>
  <si>
    <t>DIAPD:18KW 45RD/ 0.381cts 1.94gr P11349-01</t>
  </si>
  <si>
    <t>100404-2</t>
  </si>
  <si>
    <t>DIAPD:18KW 45RD/ 0.381cts 1.92gr P11349-02</t>
  </si>
  <si>
    <t>100404-3</t>
  </si>
  <si>
    <t>DIAER:18KW 16RD/ 0.208cts 1.64gr E11129</t>
  </si>
  <si>
    <t>105466-1</t>
  </si>
  <si>
    <t>DIARI:18KW 52RD/ 0.22cts 4.5gr D11062-01</t>
  </si>
  <si>
    <t>105466-2</t>
  </si>
  <si>
    <t>DIARI:18KW 52RD/ 0.22cts 4.55gr D11062-02</t>
  </si>
  <si>
    <t>203063-1</t>
  </si>
  <si>
    <t>DIAPD:18KW 40RD/ 0.156cts 1.23gr P11350-02</t>
  </si>
  <si>
    <t>203063-2</t>
  </si>
  <si>
    <t>DIAPD:18KW 40RD/ 0.156cts 1.25gr P11350-01</t>
  </si>
  <si>
    <t>203063-3</t>
  </si>
  <si>
    <t>DIAER:18KW 58RD/ 0.228cts 2.38gr E11130</t>
  </si>
  <si>
    <t>NK-CH2/26.0403</t>
  </si>
  <si>
    <t>DIARI: 18KW 36RD/0.646cts 9.81gr D10954 Size: 6.5</t>
  </si>
  <si>
    <t>D10954</t>
  </si>
  <si>
    <t>NK-CH3/26.0403</t>
  </si>
  <si>
    <t>DIARI: 18KW 40RD/0.48cts 2.8gr D11061 Size: 11VN</t>
  </si>
  <si>
    <t>D11061</t>
  </si>
  <si>
    <t>NGUYỄN THỊ TỐ QUYÊN - CH3</t>
  </si>
  <si>
    <t>DIABL: 18KY 4RD/0.012cts 18.74gr L10435 Size: 17cm</t>
  </si>
  <si>
    <t>L10435</t>
  </si>
  <si>
    <t>XTP-AG.26/0404</t>
  </si>
  <si>
    <t>[DHAG-26/04/04]</t>
  </si>
  <si>
    <t>18KY: LAC BI KHAC XOAY-CARO BBY2.534 5.52GR, SIZE:16</t>
  </si>
  <si>
    <t>BBY2.534</t>
  </si>
  <si>
    <t>LA THỊ HẰNG - CH3</t>
  </si>
  <si>
    <t>NK-CH3/26.0404</t>
  </si>
  <si>
    <t>18KNL: 18KY 3.16gr N10287 Size: 35cm</t>
  </si>
  <si>
    <t>N10287</t>
  </si>
  <si>
    <t>TRỊNH TRUNG KIÊN - CH3</t>
  </si>
  <si>
    <t>NK-SPH/26.0402</t>
  </si>
  <si>
    <t>100402-1</t>
  </si>
  <si>
    <t>DIAER:18KW 16RD/ 0.2cts 1.64gr E11129</t>
  </si>
  <si>
    <t>100855-1</t>
  </si>
  <si>
    <t>DIAER:18KW 30RD/ 0.15cts 1.5gr E11131</t>
  </si>
  <si>
    <t>200800-1</t>
  </si>
  <si>
    <t>DIAER:18KW 52RD/ 0.26cts 2.27gr E11132</t>
  </si>
  <si>
    <t>201119-1</t>
  </si>
  <si>
    <t>DIAER:18KW 22RD/ 0.11cts 2.16gr E11133</t>
  </si>
  <si>
    <t>202385-1</t>
  </si>
  <si>
    <t>DIAER:18KW 56RD/ 0.224cts 2.19gr E11134</t>
  </si>
  <si>
    <t>DIAPD:18KW 101RD/ 0.672cts + 2RRB/0.04cts 21.67gr P11351</t>
  </si>
  <si>
    <t>NK-CH2/26.0501</t>
  </si>
  <si>
    <t>RIMTG: 18KWYR 23.1gr B12851-13.17*11.11mm Size: 8.25</t>
  </si>
  <si>
    <t>B12851-13.17*11.11mm</t>
  </si>
  <si>
    <t>NK-US/26.0404</t>
  </si>
  <si>
    <t xml:space="preserve">DIAPD: 24K 1RD/0.003cts 17.36gr P11339 </t>
  </si>
  <si>
    <t>P11339</t>
  </si>
  <si>
    <t>P60403</t>
  </si>
  <si>
    <t>18KBL: 18KY 11.05gr L10234-03 Size: 6.5in</t>
  </si>
  <si>
    <t>L10234-03</t>
  </si>
  <si>
    <t>P60405</t>
  </si>
  <si>
    <t>SO26.10493-MO26.35679</t>
  </si>
  <si>
    <t>18KBL: 18KY 11.18gr L10234-04 Size: 6.5in</t>
  </si>
  <si>
    <t>L10234-04</t>
  </si>
  <si>
    <t>SO26.10493-MO26.3568</t>
  </si>
  <si>
    <t>18KBL: 18KY 19.02gr L10234-09 Size: 6.5in</t>
  </si>
  <si>
    <t>L10234-09</t>
  </si>
  <si>
    <t>SO26.10493-MO26.35685</t>
  </si>
  <si>
    <t xml:space="preserve">18KER: 18KY 3.49gr E11051-02 </t>
  </si>
  <si>
    <t>E11051-02</t>
  </si>
  <si>
    <t>SO25.1009-MO25.34401</t>
  </si>
  <si>
    <t xml:space="preserve">18KER: 18KY 3.5gr E11051-03 </t>
  </si>
  <si>
    <t>E11051-03</t>
  </si>
  <si>
    <t>SO25.1009-MO25.34402</t>
  </si>
  <si>
    <t xml:space="preserve">18KER: 18KW 3.53gr E11051-08 </t>
  </si>
  <si>
    <t>E11051-08</t>
  </si>
  <si>
    <t>SO25.1009-MO25.34407</t>
  </si>
  <si>
    <t xml:space="preserve">18KER: 18KW 3.38gr E11034 </t>
  </si>
  <si>
    <t>E11034</t>
  </si>
  <si>
    <t>SO25.9211-MO25.32367</t>
  </si>
  <si>
    <t xml:space="preserve">18KER: 18KW 3.34gr E11034-03 </t>
  </si>
  <si>
    <t>E11034-03</t>
  </si>
  <si>
    <t>SO25.9211-MO25.32369</t>
  </si>
  <si>
    <t xml:space="preserve">18KPD: 18KW 3.29gr P11154 </t>
  </si>
  <si>
    <t>P11154</t>
  </si>
  <si>
    <t>SO25.9372-MO25.32464</t>
  </si>
  <si>
    <t>NK-US/26.0405</t>
  </si>
  <si>
    <t>18KBG: 18KY 7.44gr G10501 Size: 50</t>
  </si>
  <si>
    <t>G10501</t>
  </si>
  <si>
    <t>SO26.10585-MO26.36028</t>
  </si>
  <si>
    <t>18KRI: 18KY 5.66gr D10904 Size: 5.75</t>
  </si>
  <si>
    <t>D10904</t>
  </si>
  <si>
    <t>SO26.10591-MO26.36055</t>
  </si>
  <si>
    <t>24KRI: 24K 7.49gr D10668-34 Size: 7</t>
  </si>
  <si>
    <t>24KRI</t>
  </si>
  <si>
    <t>D10668-34</t>
  </si>
  <si>
    <t>SO22.675-MO24.2814</t>
  </si>
  <si>
    <t>24KRI: 24K 7.54gr D10668-33 Size: 7</t>
  </si>
  <si>
    <t>D10668-33</t>
  </si>
  <si>
    <t>SO22.675-MO25.34507</t>
  </si>
  <si>
    <t xml:space="preserve">18KER: 18KW 3.37gr E11034-04 </t>
  </si>
  <si>
    <t>E11034-04</t>
  </si>
  <si>
    <t>SO25.9211-MO25.3237</t>
  </si>
  <si>
    <t xml:space="preserve">18KER: 18KW 3.34gr E11034-05 </t>
  </si>
  <si>
    <t>E11034-05</t>
  </si>
  <si>
    <t>SO25.9211-MO25.32371</t>
  </si>
  <si>
    <t>DBGMT: 18KY 119RD/3.014cts 19gr G10165-3.5mm*5 Size: 51*45</t>
  </si>
  <si>
    <t>DBGMT</t>
  </si>
  <si>
    <t>G10165-3.5mm*5</t>
  </si>
  <si>
    <t>XT P60404</t>
  </si>
  <si>
    <t>SO25.936-MO25.32499</t>
  </si>
  <si>
    <t xml:space="preserve">DERMT: 18KW 52RD/0.963cts 3.72gr E10715-4.5mm-02 </t>
  </si>
  <si>
    <t>E10715-4.5mm-02</t>
  </si>
  <si>
    <t>SO25.10251-MO25.34888</t>
  </si>
  <si>
    <t>LGRIMT: 18KW 2PS/0.26cts 3.94gr B12777-11.5*8.0mm-01 Size: 6</t>
  </si>
  <si>
    <t>B12777-11.5*8.0mm-01</t>
  </si>
  <si>
    <t>SO25.10258-MO25.34964</t>
  </si>
  <si>
    <t>LGRIMT: 18KW 2PS/0.512cts 4.12gr B12778-11.5*8.0mm-01 Size: 6</t>
  </si>
  <si>
    <t>B12778-11.5*8.0mm-01</t>
  </si>
  <si>
    <t>SO25.10258-MO25.34966</t>
  </si>
  <si>
    <t>NK-BH/26.0406</t>
  </si>
  <si>
    <t>US-0304</t>
  </si>
  <si>
    <t>Nhẫn xoàn SO25.9897 10.72gr</t>
  </si>
  <si>
    <t>XT P60402</t>
  </si>
  <si>
    <t>SO25.9897-MO</t>
  </si>
  <si>
    <t>NK-US/26.0406</t>
  </si>
  <si>
    <t xml:space="preserve">PT900ACC: PT900PD 1.48gr O10193 </t>
  </si>
  <si>
    <t>O10193</t>
  </si>
  <si>
    <t>SO25.9967-MO26.36049</t>
  </si>
  <si>
    <t>LGRIMT: PT900PD+18KW 2KITE/0.586cts 3.49gr B12799-15.24*7.4mm Size: 3.5</t>
  </si>
  <si>
    <t>PT900PD+18KW</t>
  </si>
  <si>
    <t>B12799-15.24*7.4mm</t>
  </si>
  <si>
    <t>SO25.10042-MO25.34286</t>
  </si>
  <si>
    <t>DIARI: 18KW 42RD/0.733cts 5.42gr D11056 Size: 8</t>
  </si>
  <si>
    <t>D11056</t>
  </si>
  <si>
    <t>SO26.10596-MO26.36062</t>
  </si>
  <si>
    <t>LGRIMT: 14KY 4RD/0.172cts 2.13gr B12815-6.7mm Size: 4.75</t>
  </si>
  <si>
    <t>B12815-6.7mm</t>
  </si>
  <si>
    <t>P60610</t>
  </si>
  <si>
    <t>SO26.10419-MO26.35512</t>
  </si>
  <si>
    <t>LGRIMT: 18KY 2PS/0.51cts 4.84gr B12778-11.5*8.0mm-02 Size: 8</t>
  </si>
  <si>
    <t>B12778-11.5*8.0mm-02</t>
  </si>
  <si>
    <t>SO25.10258-MO25.34967</t>
  </si>
  <si>
    <t>LGRIMT: 18KW 2TD/0.436cts 3.89gr B12779-10.5*6.8mm-01 Size: 6</t>
  </si>
  <si>
    <t>B12779-10.5*6.8mm-01</t>
  </si>
  <si>
    <t>SO25.10258-MO25.34968</t>
  </si>
  <si>
    <t xml:space="preserve">18KER: 18KW 3.41gr E11034-02 </t>
  </si>
  <si>
    <t>E11034-02</t>
  </si>
  <si>
    <t>SO25.9211-MO25.32368</t>
  </si>
  <si>
    <t>NK-US/26.0407</t>
  </si>
  <si>
    <t>LGRIMT: PT900PD 4BG/0.274cts+6PR/0.250cts 6.1gr B12751-10.18*6.84mm Size: 6</t>
  </si>
  <si>
    <t>B12751-10.18*6.84mm</t>
  </si>
  <si>
    <t>SO26.10391-MO26.35534</t>
  </si>
  <si>
    <t>LGDRI: PT900PD 6BG/0.525cts 3.68gr D12751-01 Size: 6</t>
  </si>
  <si>
    <t>D12751-01</t>
  </si>
  <si>
    <t>SO26.10393-MO26.35535</t>
  </si>
  <si>
    <t>LGDRI: PT900PD 6BG/0.522cts 3.62gr D12751-02 Size: 6</t>
  </si>
  <si>
    <t>D12751-02</t>
  </si>
  <si>
    <t>SO26.10393-MO26.35536</t>
  </si>
  <si>
    <t>NK-US/26.0408</t>
  </si>
  <si>
    <t>18KRI: 18KW 3.2gr D10995 Size: 8</t>
  </si>
  <si>
    <t>SO26.10597-MO26.36071</t>
  </si>
  <si>
    <t>NK-US/26.0409</t>
  </si>
  <si>
    <t xml:space="preserve">ERMTG: PT900PD 7.31gr E10628-11.5mm </t>
  </si>
  <si>
    <t>E10628-11.5mm</t>
  </si>
  <si>
    <t>SO26.10551-MO26.35922</t>
  </si>
  <si>
    <t>NK-US/26.0410</t>
  </si>
  <si>
    <t>RIMTG: 14KW 2.98gr B12835-10.62*7.25mm Size: 6</t>
  </si>
  <si>
    <t>14KW</t>
  </si>
  <si>
    <t>B12835-10.62*7.25mm</t>
  </si>
  <si>
    <t>SO26.10491-MO26.35691</t>
  </si>
  <si>
    <t>18KRI: 18KY 5.18gr D10021 Size: 6.5</t>
  </si>
  <si>
    <t>D10021</t>
  </si>
  <si>
    <t>SO26.10544-MO26.3588</t>
  </si>
  <si>
    <t>LGDRI: 18KY 13RD/0.452cts 2.23gr D28137 Size: 7</t>
  </si>
  <si>
    <t>D28137</t>
  </si>
  <si>
    <t>SO26.10544-MO26.35879</t>
  </si>
  <si>
    <t>NK-BH/26.0411</t>
  </si>
  <si>
    <t>US-0305</t>
  </si>
  <si>
    <t>Vòng kim tiền 18KR 15.70gr</t>
  </si>
  <si>
    <t>US-0306</t>
  </si>
  <si>
    <t>Vòng kim tiền 18KR 15.17gr</t>
  </si>
  <si>
    <t>US-0307</t>
  </si>
  <si>
    <t>Lắc vẩy 2 đầu rồng 18KR 19.30gr</t>
  </si>
  <si>
    <t>NK-US/26.0411</t>
  </si>
  <si>
    <t>18KBL: 18KY 36.2gr L10439 Size: 6.5in</t>
  </si>
  <si>
    <t>L10439</t>
  </si>
  <si>
    <t>SO26.10556-MO26.35946</t>
  </si>
  <si>
    <t>18KBL: 18KW 5Mã não đen/9.935cts 10.7gr L10448 Size: 19cm</t>
  </si>
  <si>
    <t>SO26.10619-MO26.36103</t>
  </si>
  <si>
    <t>LGDRI: 18KY 4RD/0.116cts+6MQ/0.441cts 5.17gr B12741-12.2*7.8mm Size: 7</t>
  </si>
  <si>
    <t>B12741-12.2*7.8mm</t>
  </si>
  <si>
    <t>SO25.10258-MO26.35145</t>
  </si>
  <si>
    <t xml:space="preserve">18KER: 18KY 0.82gr E11009-06 </t>
  </si>
  <si>
    <t>E11009-06</t>
  </si>
  <si>
    <t>SO25.93-MO25.32279</t>
  </si>
  <si>
    <t xml:space="preserve">18KER: 18KY 0.82gr E11009-07 </t>
  </si>
  <si>
    <t>E11009-07</t>
  </si>
  <si>
    <t>SO25.93-MO25.3228</t>
  </si>
  <si>
    <t xml:space="preserve">18KER: 18KY 0.79gr E11009-08 </t>
  </si>
  <si>
    <t>E11009-08</t>
  </si>
  <si>
    <t>SO25.93-MO25.32281</t>
  </si>
  <si>
    <t xml:space="preserve">18KER: 18KY 0.85gr E11009-09 </t>
  </si>
  <si>
    <t>E11009-09</t>
  </si>
  <si>
    <t>SO25.93-MO25.32282</t>
  </si>
  <si>
    <t xml:space="preserve">18KER: 18KW 3.27gr E10899-03 </t>
  </si>
  <si>
    <t>E10899-03</t>
  </si>
  <si>
    <t>SO25.9311-MO25.33761</t>
  </si>
  <si>
    <t xml:space="preserve">18KER: 18KW 3.59gr E10895-03 </t>
  </si>
  <si>
    <t>E10895-03</t>
  </si>
  <si>
    <t>SO25.9307-MO25.33769</t>
  </si>
  <si>
    <t xml:space="preserve">18KPD: 18KY 2.83gr P11154-01 </t>
  </si>
  <si>
    <t>P11154-01</t>
  </si>
  <si>
    <t>SO25.9882-MO25.33776</t>
  </si>
  <si>
    <t>XTP-AG.26/0402</t>
  </si>
  <si>
    <t>[DHAG-26/03/03]</t>
  </si>
  <si>
    <t>18KY: LAC BI KHAC KIEU XOAY BBY8 20.58GR, SIZE:18.5</t>
  </si>
  <si>
    <t>BBY8</t>
  </si>
  <si>
    <t>SO[DHAG-26/03/03]-MO</t>
  </si>
  <si>
    <t>18KY: DAY BI KHAC KIEU XOAY CBY8 52.07GR, SIZE:43.2</t>
  </si>
  <si>
    <t>CBY8</t>
  </si>
  <si>
    <t>SR-VN</t>
  </si>
  <si>
    <t>VN-0401</t>
  </si>
  <si>
    <t>18KCH: 18KY 1.26gr</t>
  </si>
  <si>
    <t>VN-0402</t>
  </si>
  <si>
    <t>18KCH: 18KY 2.88gr</t>
  </si>
  <si>
    <t>VN-0403</t>
  </si>
  <si>
    <t>18KCH: 18KY 5.42gr</t>
  </si>
  <si>
    <t>VN-0404</t>
  </si>
  <si>
    <t>18KCH: 18KY 6.57gr</t>
  </si>
  <si>
    <t>VN-0405</t>
  </si>
  <si>
    <t>18KCH: 18KY 10.12gr</t>
  </si>
  <si>
    <t>VN-0406</t>
  </si>
  <si>
    <t>18KCH: 18KW 8.36gr</t>
  </si>
  <si>
    <t>VN-0407</t>
  </si>
  <si>
    <t>18KCH: 18KW 15.07gr</t>
  </si>
  <si>
    <t>VN-0408</t>
  </si>
  <si>
    <t>18KCH: 18KY 19.71gr</t>
  </si>
  <si>
    <t>VN-0409</t>
  </si>
  <si>
    <t>18KCH: 18KY 15.08gr</t>
  </si>
  <si>
    <t>VN-0410</t>
  </si>
  <si>
    <t>18KCH: 18KY 11.07gr</t>
  </si>
  <si>
    <t>NK-US/26.0412</t>
  </si>
  <si>
    <t>18KBL: 18KY 8.17gr L10620 Size: 6in+0.5in</t>
  </si>
  <si>
    <t>L10620</t>
  </si>
  <si>
    <t>P60407</t>
  </si>
  <si>
    <t>SO26.10547-MO26.35902</t>
  </si>
  <si>
    <t>RIMTG: 14KW 3.44gr B12834-14.02*7.37mm Size: 3.5</t>
  </si>
  <si>
    <t>B12834-14.02*7.37mm</t>
  </si>
  <si>
    <t>SO25.10009-MO26.35909</t>
  </si>
  <si>
    <t>18KRI: 18KW 5.7gr D11057 Size: 5.5</t>
  </si>
  <si>
    <t>D11057</t>
  </si>
  <si>
    <t>SO26.10595-MO26.36063</t>
  </si>
  <si>
    <t>LGRIMT: 14KY 6RD/0.3cts 3.45gr  B12839-7.94*8.03 Size: 6.5</t>
  </si>
  <si>
    <t xml:space="preserve"> B12839-7.94*8.03</t>
  </si>
  <si>
    <t>SO26.10342-MO26.3523</t>
  </si>
  <si>
    <t>NK-US/26.0413</t>
  </si>
  <si>
    <t>DRIMT: PT900PD 30RD/0.181cts 4.38gr B12840-8.39*8.36mm Size: 4</t>
  </si>
  <si>
    <t>B12840-8.39*8.36mm</t>
  </si>
  <si>
    <t>XT P60406</t>
  </si>
  <si>
    <t>SO26.10656-MO26.36326</t>
  </si>
  <si>
    <t>DIARI: PT900PD 21RD/0.519cts 3gr D11060 Size: 4</t>
  </si>
  <si>
    <t>D11060</t>
  </si>
  <si>
    <t>SO26.10439-MO26.36188</t>
  </si>
  <si>
    <t>18KCH: 18KY 37.74gr C10057 Size: 26in</t>
  </si>
  <si>
    <t>C10057</t>
  </si>
  <si>
    <t>SO26.10608-MO26.36097</t>
  </si>
  <si>
    <t>NK-US/26.0414</t>
  </si>
  <si>
    <t>LGRIMT: 14KWY 30RD/0.16cts 2.4gr B12832-16.26*8.18mm Size: 5</t>
  </si>
  <si>
    <t>14KWY</t>
  </si>
  <si>
    <t>B12832-16.26*8.18mm</t>
  </si>
  <si>
    <t>SO26.10539-MO26.35831</t>
  </si>
  <si>
    <t>LGRIMT: 18KY 2PS/0.274cts 4.13gr B12777-11.5*8.0mm-02 Size: 8</t>
  </si>
  <si>
    <t>B12777-11.5*8.0mm-02</t>
  </si>
  <si>
    <t>SO25.10258-MO25.34965</t>
  </si>
  <si>
    <t>18KBL: 18KY 29.22gr L10621 Size: 7.5in</t>
  </si>
  <si>
    <t>L10621</t>
  </si>
  <si>
    <t>SO26.10578-MO26.36006</t>
  </si>
  <si>
    <t>18KBL: 18KY 22.25gr L10581-08 Size: 6.5in</t>
  </si>
  <si>
    <t>L10581-08</t>
  </si>
  <si>
    <t>SO26.10492-MO26.35671</t>
  </si>
  <si>
    <t>18KBL: 18KY 27.04gr L10234-11 Size: 6.5in</t>
  </si>
  <si>
    <t>L10234-11</t>
  </si>
  <si>
    <t>SO26.10493-MO26.35687</t>
  </si>
  <si>
    <t xml:space="preserve">18KPD: 18KY 2.88gr P11154-03 </t>
  </si>
  <si>
    <t>P11154-03</t>
  </si>
  <si>
    <t>SO25.9882-MO25.33778</t>
  </si>
  <si>
    <t xml:space="preserve">18KER: 18KY 2.34gr E11043-02 </t>
  </si>
  <si>
    <t>E11043-02</t>
  </si>
  <si>
    <t>SO25.9385-MO25.33751</t>
  </si>
  <si>
    <t xml:space="preserve">18KER: 18KY 2.32gr E11044-02 </t>
  </si>
  <si>
    <t>E11044-02</t>
  </si>
  <si>
    <t>SO25.9386-MO25.32571</t>
  </si>
  <si>
    <t xml:space="preserve">18KER: 18KY 2.29gr E11044-03 </t>
  </si>
  <si>
    <t>E11044-03</t>
  </si>
  <si>
    <t>SO25.9386-MO25.3375</t>
  </si>
  <si>
    <t xml:space="preserve">18KER: 18KY 2.54gr E11059-02 </t>
  </si>
  <si>
    <t>E11059-02</t>
  </si>
  <si>
    <t>SO25.9497-MO25.3359</t>
  </si>
  <si>
    <t xml:space="preserve">18KER: 18KY 2.41gr E11059-03 </t>
  </si>
  <si>
    <t>E11059-03</t>
  </si>
  <si>
    <t>SO25.9497-MO25.33591</t>
  </si>
  <si>
    <t>NK-US/26.0415</t>
  </si>
  <si>
    <t xml:space="preserve">18KER: 18KY 4.6gr E10771 </t>
  </si>
  <si>
    <t>E10771</t>
  </si>
  <si>
    <t>SO26.10649-MO26.36243</t>
  </si>
  <si>
    <t>NK-US/26.0416</t>
  </si>
  <si>
    <t>RIMTG: 18KY 3.69gr B12842-11.7*8.13mm Size: 6.75</t>
  </si>
  <si>
    <t>B12842-11.7*8.13mm</t>
  </si>
  <si>
    <t>SO26.10443-MO26.35611</t>
  </si>
  <si>
    <t xml:space="preserve">18KACC: 18KY 5.83gr O10192 </t>
  </si>
  <si>
    <t>O10192</t>
  </si>
  <si>
    <t>SO26.10512-MO26.35832</t>
  </si>
  <si>
    <t>18KCH: 18KY 82.65gr C10065 Size: 22in</t>
  </si>
  <si>
    <t>C10065</t>
  </si>
  <si>
    <t>SO26.10512-MO26.35711</t>
  </si>
  <si>
    <t xml:space="preserve">18KER: 18KY 2.25gr E10771-02 </t>
  </si>
  <si>
    <t>E10771-02</t>
  </si>
  <si>
    <t>SO25.9491-MO25.32829</t>
  </si>
  <si>
    <t xml:space="preserve">18KER: 18KY 2.22gr E10771-03 </t>
  </si>
  <si>
    <t>E10771-03</t>
  </si>
  <si>
    <t>SO25.9491-MO25.33627</t>
  </si>
  <si>
    <t>DBGMT: 18KY 114RD/2.345cts 19.55gr G10165-4.0mm*5 Size: 51*45</t>
  </si>
  <si>
    <t>G10165-4.0mm*5</t>
  </si>
  <si>
    <t>SO25.936-MO25.325</t>
  </si>
  <si>
    <t>NK-US/26.0417</t>
  </si>
  <si>
    <t>RIMTG: 14KY 1.08gr B12843-8.51*5.85mm Size: 2.75</t>
  </si>
  <si>
    <t>B12843-8.51*5.85mm</t>
  </si>
  <si>
    <t>SO26.10476-MO26.35645</t>
  </si>
  <si>
    <t>LGRIMT: 14KY 44RD/0.166cts 3.57gr B12847-13.3*7.27mm Size: 5.25</t>
  </si>
  <si>
    <t>B12847-13.3*7.27mm</t>
  </si>
  <si>
    <t>SO26.10603-MO26.36075</t>
  </si>
  <si>
    <t>LGRIMT: 14KY 16RD/0.082cts 1.75gr B12629-10.13*6.41mm Size: 4.75</t>
  </si>
  <si>
    <t>B12629-10.13*6.41mm</t>
  </si>
  <si>
    <t>SO26.10385-MO26.35412</t>
  </si>
  <si>
    <t>RIMTG: 18KW 1RDCZ/0.907cts 2.63gr B12846-5.0mm Size: 5</t>
  </si>
  <si>
    <t>B12846-5.0mm</t>
  </si>
  <si>
    <t>SO26.10606-MO26.36185</t>
  </si>
  <si>
    <t>DRIMT: 18KW 122RD/1.135cts+1RDCZ/4.145cts 4.43gr B12841-8.6mm Size: 5</t>
  </si>
  <si>
    <t>B12841-8.6mm</t>
  </si>
  <si>
    <t>SO26.10599-MO26.3607</t>
  </si>
  <si>
    <t>LGRIMT: 18KW 30RD/0.936cts+1YRD/0.033cts 4.29gr B12844-12.0*8.2mm Size: 7</t>
  </si>
  <si>
    <t>B12844-12.0*8.2mm</t>
  </si>
  <si>
    <t>SO26.10638-MO26.36175</t>
  </si>
  <si>
    <t>LGRIMT: 18KW 28RD/0.821cts+1YRD/0.033cts 3.35gr B12844-10.5*7.5mm Size: 4.5</t>
  </si>
  <si>
    <t>B12844-10.5*7.5mm</t>
  </si>
  <si>
    <t>SO26.10638-MO26.36176</t>
  </si>
  <si>
    <t xml:space="preserve">DIAER: 18KW 24RD/0.675cts 4.55gr E11125 </t>
  </si>
  <si>
    <t>E11125</t>
  </si>
  <si>
    <t>SO26.10625-MO26.36133</t>
  </si>
  <si>
    <t xml:space="preserve">ERMTG: 18KW 1.16gr E11123-5.54*4.07mm </t>
  </si>
  <si>
    <t>E11123-5.54*4.07mm</t>
  </si>
  <si>
    <t>SO26.10607-MO26.36098</t>
  </si>
  <si>
    <t xml:space="preserve">ERMTG: 18KW 1gr E11124-4.66*3.15mm </t>
  </si>
  <si>
    <t>E11124-4.66*3.15mm</t>
  </si>
  <si>
    <t>SO26.10607-MO26.36099</t>
  </si>
  <si>
    <t>LGDRI: 14KY 4RD/0.439cts 1.62gr D11059 Size: 6</t>
  </si>
  <si>
    <t>D11059</t>
  </si>
  <si>
    <t>SO26.10604-MO26.36072</t>
  </si>
  <si>
    <t xml:space="preserve">18KPD: 18KY 2.84gr P11154-02 </t>
  </si>
  <si>
    <t>P11154-02</t>
  </si>
  <si>
    <t>SO25.9882-MO25.33777</t>
  </si>
  <si>
    <t>NK-US/26.0418</t>
  </si>
  <si>
    <t>18KRI: 18KW 10.32gr D11054 Size: 9.75</t>
  </si>
  <si>
    <t>D11054</t>
  </si>
  <si>
    <t>SO26.10582-MO26.36027</t>
  </si>
  <si>
    <t>RIMTG: 18KW 3.97gr B12848-8.2mm Size: 4.25</t>
  </si>
  <si>
    <t>B12848-8.2mm</t>
  </si>
  <si>
    <t>SO26.10689-MO26.36378</t>
  </si>
  <si>
    <t xml:space="preserve">18KPD: 18KW 3.17gr P11345-4.0mm </t>
  </si>
  <si>
    <t>P11345-4.0mm</t>
  </si>
  <si>
    <t>SO26.10589-MO26.3605</t>
  </si>
  <si>
    <t xml:space="preserve">18KPD: 18KW 6.73gr P11346 </t>
  </si>
  <si>
    <t>P11346</t>
  </si>
  <si>
    <t>SO26.10589-MO26.36076</t>
  </si>
  <si>
    <t xml:space="preserve">18KPD: 18KW 5.07gr P10965-04 </t>
  </si>
  <si>
    <t>P10965-04</t>
  </si>
  <si>
    <t>SO25.9893-MO25.33873</t>
  </si>
  <si>
    <t xml:space="preserve">18KPD: 18KW 4.96gr P10965-05 </t>
  </si>
  <si>
    <t>P10965-05</t>
  </si>
  <si>
    <t>SO25.9893-MO25.33874</t>
  </si>
  <si>
    <t xml:space="preserve">18KPD: 18KW 5.16gr P10965-06 </t>
  </si>
  <si>
    <t>P10965-06</t>
  </si>
  <si>
    <t>SO25.9893-MO25.33875</t>
  </si>
  <si>
    <t xml:space="preserve">18KER: 18KW 2.15gr E10771-01 </t>
  </si>
  <si>
    <t>E10771-01</t>
  </si>
  <si>
    <t>SO25.9491-MO25.32828</t>
  </si>
  <si>
    <t xml:space="preserve">18KER: 18KW 2.25gr E11043-03 </t>
  </si>
  <si>
    <t>E11043-03</t>
  </si>
  <si>
    <t>SO25.9385-MO25.33752</t>
  </si>
  <si>
    <t xml:space="preserve">18KER: 18KW 2.28gr E11044-01 </t>
  </si>
  <si>
    <t>E11044-01</t>
  </si>
  <si>
    <t>SO25.9386-MO25.3257</t>
  </si>
  <si>
    <t xml:space="preserve">18KER: 18KW 3.22gr E11040-01 </t>
  </si>
  <si>
    <t>E11040-01</t>
  </si>
  <si>
    <t>SO25.9382-MO25.32562</t>
  </si>
  <si>
    <t xml:space="preserve">18KER: 18KY 2.42gr E11043 </t>
  </si>
  <si>
    <t>E11043</t>
  </si>
  <si>
    <t>SO25.9385-MO25.32569</t>
  </si>
  <si>
    <t>NK-US/26.0419</t>
  </si>
  <si>
    <t>DRIMT: 18KW 10(OT-RD)/0.497cts+1RD/0.017cts 1.88gr B12849-4.5mm Size: 6.25</t>
  </si>
  <si>
    <t>B12849-4.5mm</t>
  </si>
  <si>
    <t>Pickup VN</t>
  </si>
  <si>
    <t>CML - 25/04/2026</t>
  </si>
  <si>
    <t>SO26.10723-MO26.36437</t>
  </si>
  <si>
    <t>NK-US/26.0420</t>
  </si>
  <si>
    <t>18KBL: 18KY 4.41gr L10580 Size: 6.9in</t>
  </si>
  <si>
    <t>L10580</t>
  </si>
  <si>
    <t>SO26.10554-MO26.35948</t>
  </si>
  <si>
    <t>18KCH: 18KW 25.46gr C10017 Size: 22in</t>
  </si>
  <si>
    <t>C10017</t>
  </si>
  <si>
    <t>SO26.10588-MO26.36051</t>
  </si>
  <si>
    <t>NK-US/26.0421</t>
  </si>
  <si>
    <t>LGRIMT: 14KY 2PR/0.057cts 4.57gr B12836-12.78*7.07mm Size: 5</t>
  </si>
  <si>
    <t>B12836-12.78*7.07mm</t>
  </si>
  <si>
    <t>SO26.10442-MO26.35592</t>
  </si>
  <si>
    <t xml:space="preserve">DIAER: 18KW 20RD/0.667cts 2.71gr E11126 </t>
  </si>
  <si>
    <t>E11126</t>
  </si>
  <si>
    <t>SO26.10654-MO26.36325</t>
  </si>
  <si>
    <t>18KBL: 18KW 22.24gr L10622 Size: 6.75iN+10khoen</t>
  </si>
  <si>
    <t>L10622</t>
  </si>
  <si>
    <t>SO26.10648-MO26.3619</t>
  </si>
  <si>
    <t>18KBG: 18KY 28.56gr G10519 Size: 50*43</t>
  </si>
  <si>
    <t>G10519</t>
  </si>
  <si>
    <t>SO26.10594-MO26.36057</t>
  </si>
  <si>
    <t xml:space="preserve">24KPD: 24K 5.23gr P11243-02 </t>
  </si>
  <si>
    <t>P11243-02</t>
  </si>
  <si>
    <t>SO26.10653-MO26.36241</t>
  </si>
  <si>
    <t xml:space="preserve">24KPD: 24K 5.29gr P11243-01 </t>
  </si>
  <si>
    <t>P11243-01</t>
  </si>
  <si>
    <t>SO26.10653-MO26.36327</t>
  </si>
  <si>
    <t>[DHAG-25/08/07]</t>
  </si>
  <si>
    <t>18KY: LAC BI KHAC XOAY-CARO BBY2.54 28.96GR, SIZE:16.5</t>
  </si>
  <si>
    <t>BBY2.54</t>
  </si>
  <si>
    <t>SO[DHAG-25/08/07]-MO</t>
  </si>
  <si>
    <t>18KY: LAC BI KHAC XOAY-CARO BBY2.546 13.73GR, SIZE:16.5</t>
  </si>
  <si>
    <t>BBY2.546</t>
  </si>
  <si>
    <t>[DHAG-26/04/03]</t>
  </si>
  <si>
    <t>KCN750: 18KY KHOA H.CHU NHAT 6.26GR, 11PCS  SIZE:4.0X10</t>
  </si>
  <si>
    <t>PKKCC750Y</t>
  </si>
  <si>
    <t>SO[DHAG-26/04/03]-MO</t>
  </si>
  <si>
    <t>KCN750: 18KW KHOA H.CHU NHAT 7.52GR, 13PCS  SIZE:4.0X10</t>
  </si>
  <si>
    <t>PKKCC750W</t>
  </si>
  <si>
    <t>[DHAG-25/12/14]</t>
  </si>
  <si>
    <t>18KY: DAY FRANCO VUONG 68.45GR CY30FS, SIZE: 51</t>
  </si>
  <si>
    <t>CY30FS</t>
  </si>
  <si>
    <t>SO[DHAG-25/12/14]-MO</t>
  </si>
  <si>
    <t>NK-US/26.0422</t>
  </si>
  <si>
    <t xml:space="preserve">24K+18KER: 24K+18KY 9.85gr E11127 </t>
  </si>
  <si>
    <t>24K+18KY</t>
  </si>
  <si>
    <t>24K+18KER</t>
  </si>
  <si>
    <t>E11127</t>
  </si>
  <si>
    <t>SO26.10641-MO26.36178</t>
  </si>
  <si>
    <t>NK-US/26.0423</t>
  </si>
  <si>
    <t>18KCH: 18KW 45.9gr C10072 Size: 22in</t>
  </si>
  <si>
    <t>C10072</t>
  </si>
  <si>
    <t>SO26.10584-MO26.36046</t>
  </si>
  <si>
    <t>18KRI: 18KY 18.6gr D11058 Size: 9.75</t>
  </si>
  <si>
    <t>D11058</t>
  </si>
  <si>
    <t>SO26.1063-MO26.3617</t>
  </si>
  <si>
    <t>LGRIMT: 14KWY 18RD/0.089cts 2.49gr B12819-8.78*8.82mm Size: 4.25</t>
  </si>
  <si>
    <t>B12819-8.78*8.82mm</t>
  </si>
  <si>
    <t>SO26.10536-MO26.36379</t>
  </si>
  <si>
    <t>LGRIMT: 18KW 2RD/0.212cts+4MQ/0.118cts 4.65gr B12822-11.8*9.2mm-01 Size: 7.5</t>
  </si>
  <si>
    <t>B12822-11.8*9.2mm-01</t>
  </si>
  <si>
    <t>SO26.10565-MO26.36022</t>
  </si>
  <si>
    <t>LGRIMT: 18KW 2RD/0.218cts+4MQ/0.118cts 4.71gr B12823-14.1*8.8mm-01 Size: 7.5</t>
  </si>
  <si>
    <t>B12823-14.1*8.8mm-01</t>
  </si>
  <si>
    <t>SO26.10565-MO26.36024</t>
  </si>
  <si>
    <t>DBGMT: 18KW 118RD/0.912cts 16.28gr G10158-6.0mm Size: 52*47</t>
  </si>
  <si>
    <t>G10158-6.0mm</t>
  </si>
  <si>
    <t>SO25.9275-MO25.32226</t>
  </si>
  <si>
    <t xml:space="preserve">18KER: 18KY 2.92gr E11032-03 </t>
  </si>
  <si>
    <t>E11032-03</t>
  </si>
  <si>
    <t>SO25.9496-MO25.34188</t>
  </si>
  <si>
    <t>NK-US/26.0424</t>
  </si>
  <si>
    <t>RIMTG: 18KW 2.4gr B12852-6.7mm Size: 8.5</t>
  </si>
  <si>
    <t>B12852-6.7mm</t>
  </si>
  <si>
    <t>SO26.10642-MO26.36182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</si>
</sst>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#,##0.000"/>
    <numFmt numFmtId="166" formatCode="0.000"/>
    <numFmt numFmtId="167" formatCode="&quot;$&quot;#,##0"/>
    <numFmt numFmtId="168" formatCode="0.00000"/>
    <numFmt numFmtId="169" formatCode="#,##0.0000"/>
    <numFmt numFmtId="170" formatCode="&quot;$&quot;#,##0.00"/>
    <numFmt numFmtId="171" formatCode="0.0000"/>
    <numFmt numFmtId="172" formatCode="0.0"/>
  </numFmts>
  <fonts count="28">
    <font>
      <sz val="10.0"/>
      <color rgb="FF000000"/>
      <name val="Arial"/>
      <scheme val="minor"/>
    </font>
    <font>
      <b/>
      <sz val="18.0"/>
      <color rgb="FF980000"/>
      <name val="Times New Roman"/>
    </font>
    <font>
      <b/>
      <i/>
      <sz val="10.0"/>
      <color theme="1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b/>
      <sz val="18.0"/>
      <color theme="1"/>
      <name val="Times New Roman"/>
    </font>
    <font>
      <b/>
      <sz val="9.0"/>
      <color rgb="FF073763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color theme="1"/>
      <name val="Calibri"/>
    </font>
    <font>
      <b/>
      <sz val="11.0"/>
      <color theme="1"/>
      <name val="Calibri"/>
    </font>
    <font>
      <b/>
      <sz val="12.0"/>
      <color theme="1"/>
      <name val="Times New Roman"/>
    </font>
    <font>
      <sz val="11.0"/>
      <color rgb="FF9FC5E8"/>
      <name val="Times New Roman"/>
    </font>
    <font>
      <color theme="1"/>
      <name val="Arial"/>
      <scheme val="minor"/>
    </font>
    <font>
      <b/>
      <color theme="1"/>
      <name val="Times New Roman"/>
    </font>
    <font>
      <b/>
      <sz val="11.0"/>
      <color rgb="FFFFFFFF"/>
      <name val="Times New Roman"/>
    </font>
    <font>
      <b/>
      <color rgb="FF073763"/>
      <name val="Times New Roman"/>
    </font>
    <font>
      <color rgb="FF073763"/>
      <name val="Times New Roman"/>
    </font>
    <font>
      <sz val="10.0"/>
      <color rgb="FF073763"/>
      <name val="Times New Roman"/>
    </font>
    <font>
      <b/>
      <sz val="10.0"/>
      <color rgb="FF073763"/>
      <name val="Times New Roman"/>
    </font>
    <font>
      <sz val="10.0"/>
      <color rgb="FFFF0000"/>
      <name val="Times New Roman"/>
    </font>
    <font>
      <b/>
      <strike/>
      <sz val="11.0"/>
      <color rgb="FFFFFFFF"/>
      <name val="Times New Roman"/>
    </font>
    <font>
      <sz val="11.0"/>
      <color rgb="FF073763"/>
      <name val="Times New Roman"/>
    </font>
    <font>
      <b/>
      <color rgb="FF333333"/>
      <name val="Times New Roman"/>
    </font>
    <font>
      <sz val="11.0"/>
      <color rgb="FF980000"/>
      <name val="Times New Roman"/>
    </font>
    <font>
      <b/>
      <color rgb="FFFF0000"/>
      <name val="Times New Roman"/>
    </font>
    <font>
      <color rgb="FFFF0000"/>
      <name val="Times New Roman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5">
    <border/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Font="1" applyNumberFormat="1"/>
    <xf borderId="0" fillId="0" fontId="4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10" xfId="0" applyAlignment="1" applyFont="1" applyNumberFormat="1">
      <alignment vertical="center"/>
    </xf>
    <xf borderId="0" fillId="0" fontId="8" numFmtId="0" xfId="0" applyAlignment="1" applyFont="1">
      <alignment vertical="center"/>
    </xf>
    <xf borderId="3" fillId="3" fontId="9" numFmtId="0" xfId="0" applyBorder="1" applyFont="1"/>
    <xf borderId="4" fillId="3" fontId="10" numFmtId="0" xfId="0" applyBorder="1" applyFont="1"/>
    <xf borderId="4" fillId="3" fontId="5" numFmtId="0" xfId="0" applyAlignment="1" applyBorder="1" applyFont="1">
      <alignment vertical="center"/>
    </xf>
    <xf borderId="4" fillId="3" fontId="11" numFmtId="0" xfId="0" applyAlignment="1" applyBorder="1" applyFont="1">
      <alignment horizontal="left" vertical="center"/>
    </xf>
    <xf borderId="5" fillId="3" fontId="11" numFmtId="0" xfId="0" applyAlignment="1" applyBorder="1" applyFont="1">
      <alignment horizontal="left" vertical="center"/>
    </xf>
    <xf borderId="6" fillId="4" fontId="11" numFmtId="0" xfId="0" applyAlignment="1" applyBorder="1" applyFont="1">
      <alignment horizontal="center" vertical="center"/>
    </xf>
    <xf borderId="7" fillId="4" fontId="5" numFmtId="0" xfId="0" applyAlignment="1" applyBorder="1" applyFont="1">
      <alignment vertical="center"/>
    </xf>
    <xf borderId="2" fillId="4" fontId="11" numFmtId="0" xfId="0" applyAlignment="1" applyBorder="1" applyFont="1">
      <alignment horizontal="center" vertical="center"/>
    </xf>
    <xf borderId="2" fillId="4" fontId="11" numFmtId="4" xfId="0" applyAlignment="1" applyBorder="1" applyFont="1" applyNumberFormat="1">
      <alignment horizontal="right" vertical="center"/>
    </xf>
    <xf borderId="2" fillId="4" fontId="5" numFmtId="4" xfId="0" applyAlignment="1" applyBorder="1" applyFont="1" applyNumberFormat="1">
      <alignment horizontal="right" vertical="center"/>
    </xf>
    <xf borderId="8" fillId="3" fontId="4" numFmtId="0" xfId="0" applyBorder="1" applyFont="1"/>
    <xf borderId="4" fillId="3" fontId="4" numFmtId="0" xfId="0" applyBorder="1" applyFont="1"/>
    <xf borderId="6" fillId="5" fontId="11" numFmtId="0" xfId="0" applyAlignment="1" applyBorder="1" applyFill="1" applyFont="1">
      <alignment horizontal="center" vertical="center"/>
    </xf>
    <xf borderId="7" fillId="5" fontId="12" numFmtId="0" xfId="0" applyAlignment="1" applyBorder="1" applyFont="1">
      <alignment horizontal="center" vertical="center"/>
    </xf>
    <xf borderId="2" fillId="5" fontId="11" numFmtId="0" xfId="0" applyAlignment="1" applyBorder="1" applyFont="1">
      <alignment horizontal="center" vertical="center"/>
    </xf>
    <xf borderId="2" fillId="5" fontId="11" numFmtId="4" xfId="0" applyAlignment="1" applyBorder="1" applyFont="1" applyNumberFormat="1">
      <alignment horizontal="right" vertical="center"/>
    </xf>
    <xf borderId="2" fillId="5" fontId="5" numFmtId="4" xfId="0" applyAlignment="1" applyBorder="1" applyFont="1" applyNumberFormat="1">
      <alignment horizontal="right" vertical="center"/>
    </xf>
    <xf borderId="0" fillId="0" fontId="8" numFmtId="1" xfId="0" applyFont="1" applyNumberFormat="1"/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10" xfId="0" applyFont="1" applyNumberFormat="1"/>
    <xf borderId="0" fillId="0" fontId="8" numFmtId="1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5" fontId="11" numFmtId="0" xfId="0" applyAlignment="1" applyFont="1">
      <alignment horizontal="center" readingOrder="0" vertical="center"/>
    </xf>
    <xf borderId="7" fillId="5" fontId="12" numFmtId="0" xfId="0" applyAlignment="1" applyBorder="1" applyFont="1">
      <alignment horizontal="center" readingOrder="0" vertical="center"/>
    </xf>
    <xf borderId="0" fillId="0" fontId="13" numFmtId="49" xfId="0" applyFont="1" applyNumberFormat="1"/>
    <xf borderId="0" fillId="0" fontId="13" numFmtId="0" xfId="0" applyFont="1"/>
    <xf borderId="0" fillId="0" fontId="13" numFmtId="0" xfId="0" applyAlignment="1" applyFont="1">
      <alignment horizontal="left"/>
    </xf>
    <xf borderId="0" fillId="0" fontId="14" numFmtId="49" xfId="0" applyFont="1" applyNumberFormat="1"/>
    <xf borderId="0" fillId="0" fontId="13" numFmtId="1" xfId="0" applyFont="1" applyNumberFormat="1"/>
    <xf borderId="2" fillId="6" fontId="15" numFmtId="0" xfId="0" applyAlignment="1" applyBorder="1" applyFill="1" applyFont="1">
      <alignment horizontal="center" vertical="center"/>
    </xf>
    <xf borderId="2" fillId="6" fontId="15" numFmtId="49" xfId="0" applyAlignment="1" applyBorder="1" applyFont="1" applyNumberFormat="1">
      <alignment horizontal="center" readingOrder="0" shrinkToFit="0" vertical="center" wrapText="1"/>
    </xf>
    <xf borderId="2" fillId="6" fontId="15" numFmtId="0" xfId="0" applyAlignment="1" applyBorder="1" applyFont="1">
      <alignment horizontal="center" readingOrder="0" shrinkToFit="0" vertical="center" wrapText="1"/>
    </xf>
    <xf borderId="2" fillId="6" fontId="15" numFmtId="0" xfId="0" applyAlignment="1" applyBorder="1" applyFont="1">
      <alignment horizontal="left" shrinkToFit="0" vertical="center" wrapText="1"/>
    </xf>
    <xf borderId="2" fillId="6" fontId="15" numFmtId="0" xfId="0" applyAlignment="1" applyBorder="1" applyFont="1">
      <alignment horizontal="left" vertical="center"/>
    </xf>
    <xf borderId="2" fillId="6" fontId="15" numFmtId="0" xfId="0" applyAlignment="1" applyBorder="1" applyFont="1">
      <alignment horizontal="center" shrinkToFit="0" vertical="center" wrapText="1"/>
    </xf>
    <xf borderId="2" fillId="6" fontId="15" numFmtId="10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2" fillId="0" fontId="16" numFmtId="0" xfId="0" applyAlignment="1" applyBorder="1" applyFont="1">
      <alignment horizontal="center" readingOrder="0" shrinkToFit="0" wrapText="1"/>
    </xf>
    <xf borderId="6" fillId="0" fontId="17" numFmtId="0" xfId="0" applyAlignment="1" applyBorder="1" applyFont="1">
      <alignment horizontal="center"/>
    </xf>
    <xf borderId="2" fillId="0" fontId="17" numFmtId="164" xfId="0" applyAlignment="1" applyBorder="1" applyFont="1" applyNumberFormat="1">
      <alignment horizontal="center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left" shrinkToFit="0" wrapText="1"/>
    </xf>
    <xf borderId="6" fillId="7" fontId="18" numFmtId="0" xfId="0" applyAlignment="1" applyBorder="1" applyFill="1" applyFont="1">
      <alignment horizontal="left" vertical="center"/>
    </xf>
    <xf borderId="6" fillId="0" fontId="17" numFmtId="0" xfId="0" applyBorder="1" applyFont="1"/>
    <xf borderId="2" fillId="0" fontId="17" numFmtId="0" xfId="0" applyAlignment="1" applyBorder="1" applyFont="1">
      <alignment horizontal="center"/>
    </xf>
    <xf borderId="2" fillId="8" fontId="17" numFmtId="0" xfId="0" applyAlignment="1" applyBorder="1" applyFill="1" applyFont="1">
      <alignment horizontal="center"/>
    </xf>
    <xf borderId="2" fillId="9" fontId="17" numFmtId="0" xfId="0" applyAlignment="1" applyBorder="1" applyFill="1" applyFont="1">
      <alignment horizontal="center" readingOrder="0"/>
    </xf>
    <xf borderId="6" fillId="9" fontId="17" numFmtId="0" xfId="0" applyBorder="1" applyFont="1"/>
    <xf borderId="2" fillId="9" fontId="3" numFmtId="3" xfId="0" applyBorder="1" applyFont="1" applyNumberFormat="1"/>
    <xf borderId="2" fillId="0" fontId="3" numFmtId="165" xfId="0" applyBorder="1" applyFont="1" applyNumberFormat="1"/>
    <xf borderId="9" fillId="3" fontId="18" numFmtId="4" xfId="0" applyAlignment="1" applyBorder="1" applyFont="1" applyNumberFormat="1">
      <alignment horizontal="center" vertical="center"/>
    </xf>
    <xf borderId="10" fillId="0" fontId="16" numFmtId="0" xfId="0" applyAlignment="1" applyBorder="1" applyFont="1">
      <alignment readingOrder="0"/>
    </xf>
    <xf borderId="11" fillId="0" fontId="3" numFmtId="10" xfId="0" applyBorder="1" applyFont="1" applyNumberFormat="1"/>
    <xf borderId="2" fillId="0" fontId="3" numFmtId="166" xfId="0" applyBorder="1" applyFont="1" applyNumberFormat="1"/>
    <xf borderId="2" fillId="0" fontId="19" numFmtId="10" xfId="0" applyAlignment="1" applyBorder="1" applyFont="1" applyNumberForma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0" fillId="0" fontId="13" numFmtId="0" xfId="0" applyFont="1"/>
    <xf borderId="2" fillId="0" fontId="17" numFmtId="164" xfId="0" applyAlignment="1" applyBorder="1" applyFont="1" applyNumberFormat="1">
      <alignment horizontal="center"/>
    </xf>
    <xf borderId="2" fillId="0" fontId="18" numFmtId="0" xfId="0" applyAlignment="1" applyBorder="1" applyFont="1">
      <alignment horizontal="center" shrinkToFit="0" vertical="center" wrapText="1"/>
    </xf>
    <xf borderId="2" fillId="0" fontId="17" numFmtId="4" xfId="0" applyAlignment="1" applyBorder="1" applyFont="1" applyNumberFormat="1">
      <alignment horizontal="center"/>
    </xf>
    <xf borderId="2" fillId="9" fontId="17" numFmtId="0" xfId="0" applyAlignment="1" applyBorder="1" applyFont="1">
      <alignment horizontal="center"/>
    </xf>
    <xf borderId="2" fillId="9" fontId="17" numFmtId="3" xfId="0" applyAlignment="1" applyBorder="1" applyFont="1" applyNumberFormat="1">
      <alignment horizontal="center"/>
    </xf>
    <xf borderId="2" fillId="0" fontId="17" numFmtId="165" xfId="0" applyAlignment="1" applyBorder="1" applyFont="1" applyNumberFormat="1">
      <alignment horizontal="center"/>
    </xf>
    <xf borderId="2" fillId="0" fontId="3" numFmtId="0" xfId="0" applyBorder="1" applyFont="1"/>
    <xf borderId="2" fillId="8" fontId="17" numFmtId="1" xfId="0" applyAlignment="1" applyBorder="1" applyFont="1" applyNumberFormat="1">
      <alignment horizontal="center"/>
    </xf>
    <xf borderId="2" fillId="0" fontId="17" numFmtId="2" xfId="0" applyAlignment="1" applyBorder="1" applyFont="1" applyNumberFormat="1">
      <alignment horizontal="center"/>
    </xf>
    <xf borderId="2" fillId="9" fontId="3" numFmtId="1" xfId="0" applyBorder="1" applyFont="1" applyNumberFormat="1"/>
    <xf borderId="9" fillId="3" fontId="18" numFmtId="2" xfId="0" applyAlignment="1" applyBorder="1" applyFont="1" applyNumberFormat="1">
      <alignment horizontal="center" vertical="center"/>
    </xf>
    <xf borderId="2" fillId="9" fontId="18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readingOrder="0"/>
    </xf>
    <xf borderId="2" fillId="0" fontId="17" numFmtId="0" xfId="0" applyAlignment="1" applyBorder="1" applyFont="1">
      <alignment horizontal="center" readingOrder="0"/>
    </xf>
    <xf borderId="2" fillId="9" fontId="18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left" shrinkToFit="0" vertical="center" wrapText="1"/>
    </xf>
    <xf borderId="2" fillId="0" fontId="18" numFmtId="0" xfId="0" applyAlignment="1" applyBorder="1" applyFont="1">
      <alignment horizontal="center" readingOrder="0" vertical="center"/>
    </xf>
    <xf borderId="6" fillId="9" fontId="18" numFmtId="0" xfId="0" applyAlignment="1" applyBorder="1" applyFont="1">
      <alignment horizontal="left" readingOrder="0" vertical="center"/>
    </xf>
    <xf borderId="2" fillId="0" fontId="19" numFmtId="166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horizontal="center" vertical="center"/>
    </xf>
    <xf borderId="2" fillId="0" fontId="18" numFmtId="164" xfId="0" applyAlignment="1" applyBorder="1" applyFont="1" applyNumberFormat="1">
      <alignment horizontal="center" vertical="center"/>
    </xf>
    <xf borderId="6" fillId="0" fontId="18" numFmtId="0" xfId="0" applyAlignment="1" applyBorder="1" applyFont="1">
      <alignment horizontal="left" vertical="center"/>
    </xf>
    <xf borderId="2" fillId="0" fontId="18" numFmtId="0" xfId="0" applyAlignment="1" applyBorder="1" applyFont="1">
      <alignment horizontal="center" vertical="center"/>
    </xf>
    <xf borderId="2" fillId="0" fontId="18" numFmtId="2" xfId="0" applyAlignment="1" applyBorder="1" applyFont="1" applyNumberFormat="1">
      <alignment horizontal="center" vertical="center"/>
    </xf>
    <xf borderId="6" fillId="9" fontId="18" numFmtId="0" xfId="0" applyAlignment="1" applyBorder="1" applyFont="1">
      <alignment horizontal="left" vertical="center"/>
    </xf>
    <xf borderId="2" fillId="9" fontId="18" numFmtId="1" xfId="0" applyAlignment="1" applyBorder="1" applyFont="1" applyNumberFormat="1">
      <alignment horizontal="center" vertical="center"/>
    </xf>
    <xf borderId="2" fillId="0" fontId="18" numFmtId="166" xfId="0" applyAlignment="1" applyBorder="1" applyFont="1" applyNumberFormat="1">
      <alignment horizontal="center" vertical="center"/>
    </xf>
    <xf borderId="2" fillId="0" fontId="18" numFmtId="164" xfId="0" applyAlignment="1" applyBorder="1" applyFont="1" applyNumberFormat="1">
      <alignment horizontal="center" vertical="center"/>
    </xf>
    <xf borderId="2" fillId="9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2" fillId="0" fontId="18" numFmtId="1" xfId="0" applyAlignment="1" applyBorder="1" applyFont="1" applyNumberFormat="1">
      <alignment horizontal="center" shrinkToFit="0" vertical="center" wrapText="1"/>
    </xf>
    <xf borderId="2" fillId="0" fontId="19" numFmtId="1" xfId="0" applyAlignment="1" applyBorder="1" applyFont="1" applyNumberFormat="1">
      <alignment horizontal="center" shrinkToFit="0" vertical="center" wrapText="1"/>
    </xf>
    <xf borderId="6" fillId="0" fontId="18" numFmtId="0" xfId="0" applyAlignment="1" applyBorder="1" applyFont="1">
      <alignment horizontal="left" readingOrder="0" vertical="center"/>
    </xf>
    <xf borderId="2" fillId="7" fontId="17" numFmtId="1" xfId="0" applyAlignment="1" applyBorder="1" applyFont="1" applyNumberFormat="1">
      <alignment horizontal="center"/>
    </xf>
    <xf borderId="2" fillId="0" fontId="20" numFmtId="0" xfId="0" applyAlignment="1" applyBorder="1" applyFont="1">
      <alignment horizontal="center" vertical="center"/>
    </xf>
    <xf borderId="10" fillId="0" fontId="6" numFmtId="0" xfId="0" applyAlignment="1" applyBorder="1" applyFont="1">
      <alignment readingOrder="0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166" xfId="0" applyAlignment="1" applyBorder="1" applyFont="1" applyNumberFormat="1">
      <alignment horizontal="center" shrinkToFit="0" vertical="center" wrapText="1"/>
    </xf>
    <xf borderId="2" fillId="0" fontId="19" numFmtId="10" xfId="0" applyAlignment="1" applyBorder="1" applyFont="1" applyNumberForma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left" shrinkToFit="0" vertical="center" wrapText="1"/>
    </xf>
    <xf borderId="6" fillId="7" fontId="18" numFmtId="0" xfId="0" applyAlignment="1" applyBorder="1" applyFont="1">
      <alignment horizontal="left" vertical="center"/>
    </xf>
    <xf borderId="2" fillId="7" fontId="17" numFmtId="0" xfId="0" applyAlignment="1" applyBorder="1" applyFont="1">
      <alignment horizontal="center"/>
    </xf>
    <xf borderId="6" fillId="0" fontId="18" numFmtId="0" xfId="0" applyAlignment="1" applyBorder="1" applyFont="1">
      <alignment horizontal="left" vertical="center"/>
    </xf>
    <xf borderId="11" fillId="0" fontId="19" numFmtId="10" xfId="0" applyAlignment="1" applyBorder="1" applyFont="1" applyNumberFormat="1">
      <alignment horizontal="center" readingOrder="0" shrinkToFit="0" vertical="center" wrapText="1"/>
    </xf>
    <xf borderId="10" fillId="0" fontId="16" numFmtId="0" xfId="0" applyBorder="1" applyFont="1"/>
    <xf borderId="2" fillId="0" fontId="18" numFmtId="164" xfId="0" applyAlignment="1" applyBorder="1" applyFont="1" applyNumberFormat="1">
      <alignment horizontal="center" readingOrder="0" vertical="center"/>
    </xf>
    <xf borderId="2" fillId="8" fontId="18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readingOrder="0" shrinkToFit="0" vertical="center" wrapText="1"/>
    </xf>
    <xf borderId="6" fillId="3" fontId="18" numFmtId="4" xfId="0" applyAlignment="1" applyBorder="1" applyFont="1" applyNumberFormat="1">
      <alignment horizontal="center" vertical="center"/>
    </xf>
    <xf borderId="2" fillId="6" fontId="15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left" vertical="center"/>
    </xf>
    <xf borderId="2" fillId="0" fontId="19" numFmtId="0" xfId="0" applyAlignment="1" applyBorder="1" applyFont="1">
      <alignment horizontal="center" shrinkToFit="0" vertical="center" wrapText="1"/>
    </xf>
    <xf borderId="2" fillId="6" fontId="15" numFmtId="0" xfId="0" applyAlignment="1" applyBorder="1" applyFont="1">
      <alignment horizontal="center" readingOrder="0" vertical="center"/>
    </xf>
    <xf borderId="2" fillId="6" fontId="21" numFmtId="10" xfId="0" applyAlignment="1" applyBorder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wrapText="1"/>
    </xf>
    <xf borderId="9" fillId="7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shrinkToFit="0" wrapText="1"/>
    </xf>
    <xf borderId="6" fillId="0" fontId="17" numFmtId="164" xfId="0" applyBorder="1" applyFont="1" applyNumberFormat="1"/>
    <xf borderId="12" fillId="0" fontId="3" numFmtId="0" xfId="0" applyAlignment="1" applyBorder="1" applyFont="1">
      <alignment horizontal="center" vertical="bottom"/>
    </xf>
    <xf borderId="2" fillId="9" fontId="17" numFmtId="164" xfId="0" applyAlignment="1" applyBorder="1" applyFont="1" applyNumberFormat="1">
      <alignment horizontal="center"/>
    </xf>
    <xf borderId="6" fillId="9" fontId="17" numFmtId="164" xfId="0" applyBorder="1" applyFont="1" applyNumberFormat="1"/>
    <xf borderId="9" fillId="7" fontId="17" numFmtId="165" xfId="0" applyAlignment="1" applyBorder="1" applyFont="1" applyNumberFormat="1">
      <alignment horizontal="center"/>
    </xf>
    <xf borderId="13" fillId="0" fontId="22" numFmtId="0" xfId="0" applyAlignment="1" applyBorder="1" applyFont="1">
      <alignment horizontal="center" readingOrder="0" shrinkToFit="0" vertical="bottom" wrapText="1"/>
    </xf>
    <xf borderId="13" fillId="0" fontId="14" numFmtId="0" xfId="0" applyAlignment="1" applyBorder="1" applyFont="1">
      <alignment horizontal="center" readingOrder="0" shrinkToFit="0" wrapText="1"/>
    </xf>
    <xf borderId="14" fillId="0" fontId="23" numFmtId="0" xfId="0" applyAlignment="1" applyBorder="1" applyFont="1">
      <alignment horizontal="center" vertical="center"/>
    </xf>
    <xf borderId="13" fillId="0" fontId="24" numFmtId="167" xfId="0" applyAlignment="1" applyBorder="1" applyFont="1" applyNumberFormat="1">
      <alignment horizontal="right"/>
    </xf>
    <xf borderId="2" fillId="7" fontId="22" numFmtId="167" xfId="0" applyAlignment="1" applyBorder="1" applyFont="1" applyNumberFormat="1">
      <alignment vertical="center"/>
    </xf>
    <xf borderId="2" fillId="0" fontId="14" numFmtId="0" xfId="0" applyAlignment="1" applyBorder="1" applyFont="1">
      <alignment readingOrder="0"/>
    </xf>
    <xf borderId="0" fillId="0" fontId="13" numFmtId="0" xfId="0" applyFont="1"/>
    <xf borderId="0" fillId="0" fontId="13" numFmtId="164" xfId="0" applyFont="1" applyNumberFormat="1"/>
    <xf borderId="9" fillId="7" fontId="17" numFmtId="166" xfId="0" applyAlignment="1" applyBorder="1" applyFont="1" applyNumberFormat="1">
      <alignment horizontal="center"/>
    </xf>
    <xf borderId="13" fillId="0" fontId="22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horizontal="center" shrinkToFit="0" wrapText="1"/>
    </xf>
    <xf borderId="0" fillId="0" fontId="13" numFmtId="164" xfId="0" applyFont="1" applyNumberFormat="1"/>
    <xf borderId="2" fillId="0" fontId="25" numFmtId="0" xfId="0" applyAlignment="1" applyBorder="1" applyFont="1">
      <alignment horizontal="center"/>
    </xf>
    <xf borderId="12" fillId="0" fontId="3" numFmtId="1" xfId="0" applyAlignment="1" applyBorder="1" applyFont="1" applyNumberFormat="1">
      <alignment horizontal="center" vertical="bottom"/>
    </xf>
    <xf borderId="2" fillId="9" fontId="17" numFmtId="1" xfId="0" applyAlignment="1" applyBorder="1" applyFont="1" applyNumberFormat="1">
      <alignment horizontal="center"/>
    </xf>
    <xf borderId="2" fillId="0" fontId="13" numFmtId="166" xfId="0" applyBorder="1" applyFont="1" applyNumberFormat="1"/>
    <xf borderId="2" fillId="0" fontId="13" numFmtId="167" xfId="0" applyBorder="1" applyFont="1" applyNumberFormat="1"/>
    <xf borderId="2" fillId="0" fontId="17" numFmtId="168" xfId="0" applyAlignment="1" applyBorder="1" applyFont="1" applyNumberFormat="1">
      <alignment horizontal="left" shrinkToFit="0" wrapText="1"/>
    </xf>
    <xf borderId="2" fillId="0" fontId="26" numFmtId="0" xfId="0" applyAlignment="1" applyBorder="1" applyFont="1">
      <alignment horizontal="center"/>
    </xf>
    <xf borderId="2" fillId="0" fontId="17" numFmtId="1" xfId="0" applyAlignment="1" applyBorder="1" applyFont="1" applyNumberFormat="1">
      <alignment horizontal="center" shrinkToFit="0" wrapText="1"/>
    </xf>
    <xf borderId="2" fillId="10" fontId="17" numFmtId="0" xfId="0" applyAlignment="1" applyBorder="1" applyFill="1" applyFont="1">
      <alignment horizontal="left" shrinkToFit="0" wrapText="1"/>
    </xf>
    <xf borderId="2" fillId="0" fontId="17" numFmtId="0" xfId="0" applyAlignment="1" applyBorder="1" applyFont="1">
      <alignment horizontal="center" shrinkToFit="0" wrapText="1"/>
    </xf>
    <xf borderId="2" fillId="11" fontId="17" numFmtId="0" xfId="0" applyAlignment="1" applyBorder="1" applyFill="1" applyFont="1">
      <alignment horizontal="left" shrinkToFit="0" wrapText="1"/>
    </xf>
    <xf borderId="2" fillId="12" fontId="17" numFmtId="0" xfId="0" applyAlignment="1" applyBorder="1" applyFill="1" applyFont="1">
      <alignment horizontal="left" shrinkToFit="0" wrapText="1"/>
    </xf>
    <xf borderId="2" fillId="0" fontId="17" numFmtId="0" xfId="0" applyAlignment="1" applyBorder="1" applyFont="1">
      <alignment horizontal="center" shrinkToFit="0" wrapText="1"/>
    </xf>
    <xf borderId="2" fillId="0" fontId="13" numFmtId="165" xfId="0" applyBorder="1" applyFont="1" applyNumberFormat="1"/>
    <xf borderId="2" fillId="0" fontId="17" numFmtId="0" xfId="0" applyAlignment="1" applyBorder="1" applyFont="1">
      <alignment horizontal="left" shrinkToFit="0" wrapText="1"/>
    </xf>
    <xf borderId="2" fillId="9" fontId="17" numFmtId="3" xfId="0" applyAlignment="1" applyBorder="1" applyFont="1" applyNumberFormat="1">
      <alignment horizontal="center" readingOrder="0"/>
    </xf>
    <xf borderId="2" fillId="0" fontId="13" numFmtId="165" xfId="0" applyAlignment="1" applyBorder="1" applyFont="1" applyNumberFormat="1">
      <alignment readingOrder="0"/>
    </xf>
    <xf borderId="2" fillId="0" fontId="17" numFmtId="164" xfId="0" applyAlignment="1" applyBorder="1" applyFont="1" applyNumberFormat="1">
      <alignment horizontal="center" readingOrder="0"/>
    </xf>
    <xf borderId="9" fillId="7" fontId="17" numFmtId="4" xfId="0" applyAlignment="1" applyBorder="1" applyFont="1" applyNumberFormat="1">
      <alignment horizontal="center" readingOrder="0"/>
    </xf>
    <xf borderId="2" fillId="0" fontId="17" numFmtId="164" xfId="0" applyAlignment="1" applyBorder="1" applyFont="1" applyNumberFormat="1">
      <alignment horizontal="center" readingOrder="0"/>
    </xf>
    <xf borderId="6" fillId="0" fontId="17" numFmtId="0" xfId="0" applyBorder="1" applyFont="1"/>
    <xf borderId="2" fillId="0" fontId="17" numFmtId="2" xfId="0" applyAlignment="1" applyBorder="1" applyFont="1" applyNumberFormat="1">
      <alignment horizontal="center" readingOrder="0"/>
    </xf>
    <xf borderId="2" fillId="0" fontId="17" numFmtId="0" xfId="0" applyAlignment="1" applyBorder="1" applyFont="1">
      <alignment horizontal="center" readingOrder="0" shrinkToFit="0" wrapText="1"/>
    </xf>
    <xf borderId="6" fillId="0" fontId="17" numFmtId="0" xfId="0" applyBorder="1" applyFont="1"/>
    <xf borderId="12" fillId="0" fontId="3" numFmtId="0" xfId="0" applyAlignment="1" applyBorder="1" applyFont="1">
      <alignment horizontal="center" readingOrder="0" vertical="bottom"/>
    </xf>
    <xf borderId="2" fillId="0" fontId="13" numFmtId="0" xfId="0" applyBorder="1" applyFont="1"/>
    <xf borderId="2" fillId="0" fontId="13" numFmtId="0" xfId="0" applyBorder="1" applyFont="1"/>
    <xf borderId="2" fillId="0" fontId="13" numFmtId="164" xfId="0" applyBorder="1" applyFont="1" applyNumberFormat="1"/>
    <xf borderId="2" fillId="0" fontId="13" numFmtId="0" xfId="0" applyAlignment="1" applyBorder="1" applyFont="1">
      <alignment horizontal="left"/>
    </xf>
    <xf borderId="2" fillId="9" fontId="27" numFmtId="0" xfId="0" applyAlignment="1" applyBorder="1" applyFont="1">
      <alignment vertical="bottom"/>
    </xf>
    <xf borderId="6" fillId="9" fontId="27" numFmtId="0" xfId="0" applyAlignment="1" applyBorder="1" applyFont="1">
      <alignment vertical="bottom"/>
    </xf>
    <xf borderId="2" fillId="9" fontId="27" numFmtId="3" xfId="0" applyAlignment="1" applyBorder="1" applyFont="1" applyNumberFormat="1">
      <alignment vertical="bottom"/>
    </xf>
    <xf borderId="2" fillId="0" fontId="13" numFmtId="169" xfId="0" applyBorder="1" applyFont="1" applyNumberFormat="1"/>
    <xf borderId="2" fillId="0" fontId="13" numFmtId="170" xfId="0" applyBorder="1" applyFont="1" applyNumberFormat="1"/>
    <xf borderId="2" fillId="0" fontId="14" numFmtId="0" xfId="0" applyBorder="1" applyFont="1"/>
    <xf borderId="4" fillId="3" fontId="11" numFmtId="0" xfId="0" applyAlignment="1" applyBorder="1" applyFont="1">
      <alignment horizontal="center" vertical="center"/>
    </xf>
    <xf borderId="2" fillId="4" fontId="11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13" numFmtId="0" xfId="0" applyAlignment="1" applyFont="1">
      <alignment horizontal="center"/>
    </xf>
    <xf borderId="6" fillId="0" fontId="3" numFmtId="0" xfId="0" applyAlignment="1" applyBorder="1" applyFont="1">
      <alignment horizontal="left"/>
    </xf>
    <xf borderId="6" fillId="0" fontId="17" numFmtId="0" xfId="0" applyAlignment="1" applyBorder="1" applyFont="1">
      <alignment horizontal="left"/>
    </xf>
    <xf borderId="2" fillId="0" fontId="17" numFmtId="166" xfId="0" applyAlignment="1" applyBorder="1" applyFont="1" applyNumberFormat="1">
      <alignment horizontal="center"/>
    </xf>
    <xf borderId="2" fillId="8" fontId="17" numFmtId="0" xfId="0" applyAlignment="1" applyBorder="1" applyFont="1">
      <alignment horizontal="center" readingOrder="0"/>
    </xf>
    <xf borderId="2" fillId="0" fontId="18" numFmtId="4" xfId="0" applyAlignment="1" applyBorder="1" applyFont="1" applyNumberFormat="1">
      <alignment horizontal="center" vertical="center"/>
    </xf>
    <xf borderId="2" fillId="9" fontId="18" numFmtId="3" xfId="0" applyAlignment="1" applyBorder="1" applyFont="1" applyNumberFormat="1">
      <alignment horizontal="center" vertical="center"/>
    </xf>
    <xf borderId="2" fillId="0" fontId="18" numFmtId="165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shrinkToFit="0" vertical="center" wrapText="1"/>
    </xf>
    <xf borderId="2" fillId="13" fontId="17" numFmtId="0" xfId="0" applyAlignment="1" applyBorder="1" applyFill="1" applyFont="1">
      <alignment horizontal="center"/>
    </xf>
    <xf borderId="2" fillId="6" fontId="15" numFmtId="1" xfId="0" applyAlignment="1" applyBorder="1" applyFont="1" applyNumberFormat="1">
      <alignment horizontal="center" shrinkToFit="0" vertical="center" wrapText="1"/>
    </xf>
    <xf borderId="2" fillId="0" fontId="17" numFmtId="1" xfId="0" applyAlignment="1" applyBorder="1" applyFont="1" applyNumberFormat="1">
      <alignment horizontal="center" readingOrder="0" shrinkToFit="0" wrapText="1"/>
    </xf>
    <xf borderId="9" fillId="3" fontId="18" numFmtId="0" xfId="0" applyAlignment="1" applyBorder="1" applyFont="1">
      <alignment horizontal="center" readingOrder="0" vertical="center"/>
    </xf>
    <xf borderId="2" fillId="0" fontId="17" numFmtId="4" xfId="0" applyAlignment="1" applyBorder="1" applyFont="1" applyNumberFormat="1">
      <alignment horizontal="center" readingOrder="0"/>
    </xf>
    <xf borderId="2" fillId="14" fontId="17" numFmtId="0" xfId="0" applyAlignment="1" applyBorder="1" applyFill="1" applyFont="1">
      <alignment horizontal="left" shrinkToFit="0" wrapText="1"/>
    </xf>
    <xf borderId="9" fillId="7" fontId="17" numFmtId="0" xfId="0" applyAlignment="1" applyBorder="1" applyFont="1">
      <alignment horizontal="center" readingOrder="0"/>
    </xf>
    <xf borderId="2" fillId="3" fontId="18" numFmtId="0" xfId="0" applyAlignment="1" applyBorder="1" applyFont="1">
      <alignment horizontal="center" readingOrder="0" shrinkToFit="0" vertical="center" wrapText="1"/>
    </xf>
    <xf borderId="12" fillId="0" fontId="3" numFmtId="1" xfId="0" applyAlignment="1" applyBorder="1" applyFont="1" applyNumberFormat="1">
      <alignment horizontal="center" readingOrder="0" vertical="bottom"/>
    </xf>
    <xf borderId="6" fillId="9" fontId="17" numFmtId="0" xfId="0" applyAlignment="1" applyBorder="1" applyFont="1">
      <alignment readingOrder="0"/>
    </xf>
    <xf borderId="9" fillId="3" fontId="18" numFmtId="2" xfId="0" applyAlignment="1" applyBorder="1" applyFont="1" applyNumberFormat="1">
      <alignment horizontal="center" readingOrder="0" vertical="center"/>
    </xf>
    <xf borderId="2" fillId="14" fontId="17" numFmtId="168" xfId="0" applyAlignment="1" applyBorder="1" applyFont="1" applyNumberFormat="1">
      <alignment horizontal="left" shrinkToFit="0" wrapText="1"/>
    </xf>
    <xf borderId="2" fillId="7" fontId="22" numFmtId="167" xfId="0" applyAlignment="1" applyBorder="1" applyFont="1" applyNumberFormat="1">
      <alignment readingOrder="0" vertical="center"/>
    </xf>
    <xf borderId="2" fillId="0" fontId="13" numFmtId="0" xfId="0" applyAlignment="1" applyBorder="1" applyFont="1">
      <alignment horizontal="center"/>
    </xf>
    <xf borderId="2" fillId="0" fontId="18" numFmtId="1" xfId="0" applyAlignment="1" applyBorder="1" applyFont="1" applyNumberFormat="1">
      <alignment horizontal="center" readingOrder="0" shrinkToFit="0" vertical="center" wrapText="1"/>
    </xf>
    <xf borderId="2" fillId="10" fontId="18" numFmtId="49" xfId="0" applyAlignment="1" applyBorder="1" applyFont="1" applyNumberForma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2" fillId="0" fontId="17" numFmtId="168" xfId="0" applyAlignment="1" applyBorder="1" applyFont="1" applyNumberFormat="1">
      <alignment horizontal="left" readingOrder="0" shrinkToFit="0" wrapText="1"/>
    </xf>
    <xf borderId="2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vertical="center"/>
    </xf>
    <xf borderId="2" fillId="0" fontId="17" numFmtId="171" xfId="0" applyAlignment="1" applyBorder="1" applyFont="1" applyNumberFormat="1">
      <alignment horizontal="left" readingOrder="0" shrinkToFit="0" wrapText="1"/>
    </xf>
    <xf borderId="2" fillId="0" fontId="17" numFmtId="171" xfId="0" applyAlignment="1" applyBorder="1" applyFont="1" applyNumberFormat="1">
      <alignment horizontal="left" shrinkToFit="0" wrapText="1"/>
    </xf>
    <xf borderId="2" fillId="7" fontId="17" numFmtId="0" xfId="0" applyAlignment="1" applyBorder="1" applyFont="1">
      <alignment horizontal="center" shrinkToFit="0" wrapText="1"/>
    </xf>
    <xf borderId="2" fillId="7" fontId="17" numFmtId="0" xfId="0" applyAlignment="1" applyBorder="1" applyFont="1">
      <alignment horizontal="left" shrinkToFit="0" wrapText="1"/>
    </xf>
    <xf borderId="2" fillId="14" fontId="19" numFmtId="0" xfId="0" applyAlignment="1" applyBorder="1" applyFont="1">
      <alignment horizontal="center" readingOrder="0" shrinkToFit="0" vertical="center" wrapText="1"/>
    </xf>
    <xf borderId="2" fillId="15" fontId="17" numFmtId="0" xfId="0" applyAlignment="1" applyBorder="1" applyFill="1" applyFont="1">
      <alignment horizontal="center" shrinkToFit="0" wrapText="1"/>
    </xf>
    <xf borderId="2" fillId="15" fontId="17" numFmtId="0" xfId="0" applyAlignment="1" applyBorder="1" applyFont="1">
      <alignment horizontal="left" shrinkToFit="0" wrapText="1"/>
    </xf>
    <xf borderId="2" fillId="7" fontId="17" numFmtId="0" xfId="0" applyAlignment="1" applyBorder="1" applyFont="1">
      <alignment horizontal="center" shrinkToFit="0" wrapText="1"/>
    </xf>
    <xf borderId="2" fillId="16" fontId="19" numFmtId="0" xfId="0" applyAlignment="1" applyBorder="1" applyFill="1" applyFont="1">
      <alignment horizontal="center" readingOrder="0" shrinkToFit="0" vertical="center" wrapText="1"/>
    </xf>
    <xf borderId="2" fillId="15" fontId="17" numFmtId="1" xfId="0" applyAlignment="1" applyBorder="1" applyFont="1" applyNumberFormat="1">
      <alignment horizontal="center" shrinkToFit="0" wrapText="1"/>
    </xf>
    <xf borderId="2" fillId="0" fontId="17" numFmtId="0" xfId="0" applyAlignment="1" applyBorder="1" applyFont="1">
      <alignment horizontal="left" readingOrder="0" shrinkToFit="0" wrapText="1"/>
    </xf>
    <xf borderId="2" fillId="0" fontId="26" numFmtId="0" xfId="0" applyAlignment="1" applyBorder="1" applyFont="1">
      <alignment horizontal="center" readingOrder="0"/>
    </xf>
    <xf borderId="2" fillId="7" fontId="17" numFmtId="1" xfId="0" applyAlignment="1" applyBorder="1" applyFont="1" applyNumberFormat="1">
      <alignment horizontal="center" shrinkToFit="0" wrapText="1"/>
    </xf>
    <xf borderId="2" fillId="9" fontId="17" numFmtId="1" xfId="0" applyAlignment="1" applyBorder="1" applyFont="1" applyNumberFormat="1">
      <alignment horizontal="center" readingOrder="0"/>
    </xf>
    <xf borderId="9" fillId="7" fontId="17" numFmtId="166" xfId="0" applyAlignment="1" applyBorder="1" applyFont="1" applyNumberFormat="1">
      <alignment horizontal="center" readingOrder="0"/>
    </xf>
    <xf borderId="2" fillId="7" fontId="17" numFmtId="0" xfId="0" applyAlignment="1" applyBorder="1" applyFont="1">
      <alignment horizontal="left" shrinkToFit="0" vertical="bottom" wrapText="1"/>
    </xf>
    <xf borderId="2" fillId="15" fontId="17" numFmtId="0" xfId="0" applyAlignment="1" applyBorder="1" applyFont="1">
      <alignment horizontal="center" shrinkToFit="0" wrapText="1"/>
    </xf>
    <xf borderId="2" fillId="15" fontId="17" numFmtId="0" xfId="0" applyAlignment="1" applyBorder="1" applyFont="1">
      <alignment horizontal="left" shrinkToFit="0" vertical="bottom" wrapText="1"/>
    </xf>
    <xf borderId="2" fillId="15" fontId="17" numFmtId="0" xfId="0" applyAlignment="1" applyBorder="1" applyFont="1">
      <alignment horizontal="center" readingOrder="0" shrinkToFit="0" wrapText="1"/>
    </xf>
    <xf borderId="2" fillId="7" fontId="17" numFmtId="0" xfId="0" applyAlignment="1" applyBorder="1" applyFont="1">
      <alignment horizontal="center" readingOrder="0" shrinkToFit="0" wrapText="1"/>
    </xf>
    <xf borderId="2" fillId="7" fontId="17" numFmtId="171" xfId="0" applyAlignment="1" applyBorder="1" applyFont="1" applyNumberFormat="1">
      <alignment horizontal="left" shrinkToFit="0" vertical="bottom" wrapText="1"/>
    </xf>
    <xf borderId="2" fillId="15" fontId="17" numFmtId="171" xfId="0" applyAlignment="1" applyBorder="1" applyFont="1" applyNumberFormat="1">
      <alignment horizontal="left" shrinkToFit="0" vertical="bottom" wrapText="1"/>
    </xf>
    <xf borderId="2" fillId="17" fontId="18" numFmtId="0" xfId="0" applyAlignment="1" applyBorder="1" applyFill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shrinkToFit="0" wrapText="1"/>
    </xf>
    <xf borderId="2" fillId="14" fontId="17" numFmtId="1" xfId="0" applyAlignment="1" applyBorder="1" applyFont="1" applyNumberFormat="1">
      <alignment horizontal="center" shrinkToFit="0" wrapText="1"/>
    </xf>
    <xf borderId="9" fillId="7" fontId="17" numFmtId="172" xfId="0" applyAlignment="1" applyBorder="1" applyFont="1" applyNumberFormat="1">
      <alignment horizontal="center"/>
    </xf>
    <xf borderId="2" fillId="0" fontId="14" numFmtId="0" xfId="0" applyAlignment="1" applyBorder="1" applyFont="1">
      <alignment horizontal="center" shrinkToFit="0" wrapText="1"/>
    </xf>
    <xf borderId="9" fillId="0" fontId="17" numFmtId="0" xfId="0" applyAlignment="1" applyBorder="1" applyFont="1">
      <alignment horizontal="center"/>
    </xf>
    <xf borderId="9" fillId="0" fontId="18" numFmtId="2" xfId="0" applyAlignment="1" applyBorder="1" applyFont="1" applyNumberFormat="1">
      <alignment horizontal="center" vertical="center"/>
    </xf>
    <xf borderId="2" fillId="0" fontId="22" numFmtId="167" xfId="0" applyAlignment="1" applyBorder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3">
    <tableStyle count="2" pivot="0" name="HT05.26-style">
      <tableStyleElement dxfId="1" type="firstRowStripe"/>
      <tableStyleElement dxfId="1" type="secondRowStripe"/>
    </tableStyle>
    <tableStyle count="2" pivot="0" name="HT05.26-style 2">
      <tableStyleElement dxfId="1" type="firstRowStripe"/>
      <tableStyleElement dxfId="1" type="secondRowStripe"/>
    </tableStyle>
    <tableStyle count="2" pivot="0" name="HT05.26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12:N1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HT05.26-style" showColumnStripes="0" showFirstColumn="1" showLastColumn="1" showRowStripes="1"/>
</table>
</file>

<file path=xl/tables/table2.xml><?xml version="1.0" encoding="utf-8"?>
<table xmlns="http://schemas.openxmlformats.org/spreadsheetml/2006/main" headerRowCount="0" ref="E103:N103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HT05.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74" displayName="Table_3" name="Table_3" id="3">
  <tableColumns count="1">
    <tableColumn name="Column1" id="1"/>
  </tableColumns>
  <tableStyleInfo name="HT05.26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1" max="1" width="9.25"/>
    <col customWidth="1" min="2" max="2" width="14.75"/>
    <col customWidth="1" min="3" max="3" width="13.63"/>
    <col customWidth="1" min="4" max="4" width="8.75"/>
    <col customWidth="1" min="5" max="6" width="10.13"/>
    <col customWidth="1" min="7" max="7" width="46.88"/>
    <col customWidth="1" min="8" max="8" width="9.88"/>
    <col customWidth="1" min="9" max="9" width="8.38"/>
    <col customWidth="1" min="10" max="10" width="12.13"/>
    <col customWidth="1" min="11" max="11" width="10.0"/>
    <col customWidth="1" min="12" max="12" width="18.25"/>
    <col customWidth="1" min="13" max="13" width="7.63"/>
    <col customWidth="1" min="14" max="14" width="7.75"/>
    <col customWidth="1" min="15" max="15" width="8.38"/>
    <col customWidth="1" min="16" max="16" width="24.75"/>
    <col customWidth="1" min="17" max="17" width="15.63"/>
    <col customWidth="1" min="18" max="18" width="16.13"/>
    <col customWidth="1" min="19" max="20" width="10.75"/>
    <col customWidth="1" min="21" max="21" width="11.75"/>
    <col customWidth="1" min="22" max="22" width="12.13"/>
    <col customWidth="1" min="23" max="23" width="19.75"/>
    <col customWidth="1" min="24" max="24" width="16.38"/>
    <col customWidth="1" min="25" max="25" width="30.5"/>
    <col customWidth="1" min="26" max="27" width="18.5"/>
    <col customWidth="1" min="28" max="28" width="13.0"/>
    <col customWidth="1" hidden="1" min="29" max="29" width="9.38"/>
    <col customWidth="1" hidden="1" min="30" max="30" width="8.0"/>
    <col customWidth="1" hidden="1" min="31" max="31" width="8.13"/>
    <col customWidth="1" hidden="1" min="32" max="33" width="20.5"/>
    <col customWidth="1" hidden="1" min="34" max="34" width="65.5"/>
    <col customWidth="1" hidden="1" min="35" max="35" width="20.5"/>
    <col customWidth="1" hidden="1" min="36" max="36" width="8.0"/>
    <col customWidth="1" min="37" max="46" width="8.0"/>
  </cols>
  <sheetData>
    <row r="1" ht="48.75" customHeight="1">
      <c r="A1" s="1" t="s">
        <v>0</v>
      </c>
      <c r="P1" s="2"/>
      <c r="Q1" s="3"/>
      <c r="R1" s="4"/>
      <c r="S1" s="5"/>
      <c r="T1" s="5"/>
      <c r="U1" s="5"/>
      <c r="V1" s="6"/>
      <c r="W1" s="4"/>
      <c r="X1" s="4"/>
      <c r="Y1" s="4"/>
      <c r="Z1" s="2" t="s">
        <v>1</v>
      </c>
      <c r="AA1" s="4"/>
      <c r="AB1" s="4"/>
      <c r="AC1" s="4"/>
      <c r="AD1" s="4"/>
      <c r="AE1" s="4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ht="30.0" hidden="1" customHeight="1">
      <c r="A2" s="8"/>
      <c r="B2" s="9"/>
      <c r="C2" s="9"/>
      <c r="D2" s="10"/>
      <c r="E2" s="11"/>
      <c r="F2" s="11"/>
      <c r="G2" s="12"/>
      <c r="H2" s="12"/>
      <c r="I2" s="13" t="s">
        <v>2</v>
      </c>
      <c r="J2" s="13" t="s">
        <v>3</v>
      </c>
      <c r="K2" s="14" t="s">
        <v>4</v>
      </c>
      <c r="L2" s="13" t="s">
        <v>5</v>
      </c>
      <c r="M2" s="13" t="s">
        <v>6</v>
      </c>
      <c r="N2" s="13" t="s">
        <v>7</v>
      </c>
      <c r="O2" s="13" t="s">
        <v>8</v>
      </c>
      <c r="P2" s="12"/>
      <c r="Q2" s="15"/>
      <c r="R2" s="15"/>
      <c r="S2" s="16"/>
      <c r="T2" s="16"/>
      <c r="U2" s="16"/>
      <c r="V2" s="17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ht="19.5" hidden="1" customHeight="1">
      <c r="A3" s="18"/>
      <c r="B3" s="19"/>
      <c r="C3" s="19"/>
      <c r="D3" s="20"/>
      <c r="E3" s="21"/>
      <c r="F3" s="22"/>
      <c r="G3" s="23" t="s">
        <v>9</v>
      </c>
      <c r="H3" s="24"/>
      <c r="I3" s="25">
        <f>SUM(I12:I329)-I100</f>
        <v>189</v>
      </c>
      <c r="J3" s="26">
        <f>SUM(J12:J329)</f>
        <v>1515.43</v>
      </c>
      <c r="K3" s="27"/>
      <c r="L3" s="27"/>
      <c r="M3" s="27"/>
      <c r="N3" s="26">
        <f t="shared" ref="N3:O3" si="1">SUM(N37:N329)</f>
        <v>39.605</v>
      </c>
      <c r="O3" s="26">
        <f t="shared" si="1"/>
        <v>1119.499</v>
      </c>
      <c r="P3" s="12"/>
      <c r="Q3" s="15"/>
      <c r="R3" s="15"/>
      <c r="S3" s="16"/>
      <c r="T3" s="16"/>
      <c r="U3" s="16"/>
      <c r="V3" s="17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ht="19.5" hidden="1" customHeight="1">
      <c r="A4" s="18"/>
      <c r="B4" s="28"/>
      <c r="C4" s="29"/>
      <c r="D4" s="20"/>
      <c r="E4" s="21"/>
      <c r="F4" s="22"/>
      <c r="G4" s="30" t="s">
        <v>10</v>
      </c>
      <c r="H4" s="31">
        <v>214.0</v>
      </c>
      <c r="I4" s="32">
        <f t="shared" ref="I4:J4" si="2">SUMIF($A$12:$O$330,$H4,I$12:I$330)</f>
        <v>30</v>
      </c>
      <c r="J4" s="33">
        <f t="shared" si="2"/>
        <v>238.44</v>
      </c>
      <c r="K4" s="34"/>
      <c r="L4" s="34"/>
      <c r="M4" s="34"/>
      <c r="N4" s="33">
        <f t="shared" ref="N4:O4" si="3">SUMIF($A$37:$O$329,$H4,N$37:N$329)</f>
        <v>0</v>
      </c>
      <c r="O4" s="33">
        <f t="shared" si="3"/>
        <v>0</v>
      </c>
      <c r="P4" s="12"/>
      <c r="Q4" s="15"/>
      <c r="R4" s="15"/>
      <c r="S4" s="16"/>
      <c r="T4" s="16"/>
      <c r="U4" s="16"/>
      <c r="V4" s="17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ht="20.25" hidden="1" customHeight="1">
      <c r="A5" s="18"/>
      <c r="B5" s="28"/>
      <c r="C5" s="29"/>
      <c r="D5" s="20"/>
      <c r="E5" s="21"/>
      <c r="F5" s="22"/>
      <c r="G5" s="30" t="s">
        <v>11</v>
      </c>
      <c r="H5" s="31">
        <v>359.0</v>
      </c>
      <c r="I5" s="32">
        <f t="shared" ref="I5:J5" si="4">SUMIF($A$12:$O$330,$H5,I$12:I$330)</f>
        <v>9</v>
      </c>
      <c r="J5" s="33">
        <f t="shared" si="4"/>
        <v>50.04</v>
      </c>
      <c r="K5" s="34"/>
      <c r="L5" s="34"/>
      <c r="M5" s="34"/>
      <c r="N5" s="33">
        <f t="shared" ref="N5:O5" si="5">SUMIF($A$37:$O$329,$H5,N$37:N$329)</f>
        <v>0</v>
      </c>
      <c r="O5" s="33">
        <f t="shared" si="5"/>
        <v>0</v>
      </c>
      <c r="P5" s="12"/>
      <c r="Q5" s="15"/>
      <c r="R5" s="15"/>
      <c r="S5" s="16"/>
      <c r="T5" s="16"/>
      <c r="U5" s="16"/>
      <c r="V5" s="17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</row>
    <row r="6" ht="23.25" hidden="1" customHeight="1">
      <c r="A6" s="35"/>
      <c r="B6" s="35"/>
      <c r="C6" s="35"/>
      <c r="D6" s="36"/>
      <c r="E6" s="37"/>
      <c r="F6" s="37"/>
      <c r="G6" s="30" t="s">
        <v>12</v>
      </c>
      <c r="H6" s="31" t="s">
        <v>13</v>
      </c>
      <c r="I6" s="32">
        <f t="shared" ref="I6:J6" si="6">SUMIF($A$12:$O$330,$H6,I$12:I$330)</f>
        <v>149</v>
      </c>
      <c r="J6" s="33">
        <f t="shared" si="6"/>
        <v>1127.42</v>
      </c>
      <c r="K6" s="34"/>
      <c r="L6" s="34"/>
      <c r="M6" s="34"/>
      <c r="N6" s="33">
        <f t="shared" ref="N6:O6" si="7">SUMIF($A$37:$O$329,$H6,N$37:N$329)</f>
        <v>39.605</v>
      </c>
      <c r="O6" s="33">
        <f t="shared" si="7"/>
        <v>1119.499</v>
      </c>
      <c r="P6" s="35"/>
      <c r="Q6" s="35"/>
      <c r="R6" s="35"/>
      <c r="S6" s="38"/>
      <c r="T6" s="38"/>
      <c r="U6" s="38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</row>
    <row r="7" ht="19.5" hidden="1" customHeight="1">
      <c r="A7" s="35"/>
      <c r="B7" s="35"/>
      <c r="C7" s="35"/>
      <c r="D7" s="36"/>
      <c r="E7" s="37"/>
      <c r="F7" s="40"/>
      <c r="G7" s="41" t="s">
        <v>14</v>
      </c>
      <c r="H7" s="42" t="s">
        <v>15</v>
      </c>
      <c r="I7" s="32">
        <f t="shared" ref="I7:J7" si="8">SUMIF($A$12:$O$330,$H7,I$12:I$330)</f>
        <v>1</v>
      </c>
      <c r="J7" s="33">
        <f t="shared" si="8"/>
        <v>99.53</v>
      </c>
      <c r="K7" s="34"/>
      <c r="L7" s="34"/>
      <c r="M7" s="34"/>
      <c r="N7" s="33">
        <f t="shared" ref="N7:O7" si="9">SUMIF($A$37:$O$329,$H7,N$37:N$329)</f>
        <v>0</v>
      </c>
      <c r="O7" s="33">
        <f t="shared" si="9"/>
        <v>0</v>
      </c>
      <c r="P7" s="35"/>
      <c r="Q7" s="35"/>
      <c r="R7" s="35"/>
      <c r="S7" s="38"/>
      <c r="T7" s="38"/>
      <c r="U7" s="38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</row>
    <row r="8" ht="17.25" hidden="1" customHeight="1">
      <c r="A8" s="35"/>
      <c r="B8" s="35"/>
      <c r="C8" s="35"/>
      <c r="D8" s="36"/>
      <c r="E8" s="37"/>
      <c r="F8" s="40"/>
      <c r="G8" s="30"/>
      <c r="H8" s="31"/>
      <c r="I8" s="32"/>
      <c r="J8" s="33"/>
      <c r="K8" s="34"/>
      <c r="L8" s="34"/>
      <c r="M8" s="34"/>
      <c r="N8" s="33"/>
      <c r="O8" s="33"/>
      <c r="P8" s="35"/>
      <c r="Q8" s="35"/>
      <c r="R8" s="35"/>
      <c r="S8" s="38"/>
      <c r="T8" s="38"/>
      <c r="U8" s="38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</row>
    <row r="9" ht="19.5" hidden="1" customHeight="1">
      <c r="A9" s="35"/>
      <c r="B9" s="35"/>
      <c r="C9" s="35"/>
      <c r="D9" s="36"/>
      <c r="E9" s="37"/>
      <c r="F9" s="40"/>
      <c r="G9" s="41"/>
      <c r="H9" s="42"/>
      <c r="I9" s="32"/>
      <c r="J9" s="33"/>
      <c r="K9" s="34"/>
      <c r="L9" s="34"/>
      <c r="M9" s="34"/>
      <c r="N9" s="33"/>
      <c r="O9" s="33"/>
      <c r="P9" s="35"/>
      <c r="Q9" s="35"/>
      <c r="R9" s="35"/>
      <c r="S9" s="38"/>
      <c r="T9" s="38"/>
      <c r="U9" s="38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</row>
    <row r="10" hidden="1">
      <c r="A10" s="43"/>
      <c r="B10" s="43"/>
      <c r="C10" s="43"/>
      <c r="D10" s="44"/>
      <c r="E10" s="45"/>
      <c r="F10" s="45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6"/>
      <c r="W10" s="43"/>
      <c r="X10" s="43"/>
      <c r="Y10" s="43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</row>
    <row r="11" ht="48.75" customHeight="1">
      <c r="A11" s="48" t="s">
        <v>16</v>
      </c>
      <c r="B11" s="49" t="s">
        <v>17</v>
      </c>
      <c r="C11" s="50" t="s">
        <v>18</v>
      </c>
      <c r="D11" s="50" t="s">
        <v>19</v>
      </c>
      <c r="E11" s="51" t="s">
        <v>20</v>
      </c>
      <c r="F11" s="52" t="s">
        <v>21</v>
      </c>
      <c r="G11" s="48" t="s">
        <v>22</v>
      </c>
      <c r="H11" s="53" t="s">
        <v>23</v>
      </c>
      <c r="I11" s="53" t="s">
        <v>24</v>
      </c>
      <c r="J11" s="53" t="s">
        <v>3</v>
      </c>
      <c r="K11" s="48" t="s">
        <v>4</v>
      </c>
      <c r="L11" s="53" t="s">
        <v>5</v>
      </c>
      <c r="M11" s="53" t="s">
        <v>6</v>
      </c>
      <c r="N11" s="53" t="s">
        <v>7</v>
      </c>
      <c r="O11" s="53" t="s">
        <v>8</v>
      </c>
      <c r="P11" s="50" t="s">
        <v>25</v>
      </c>
      <c r="Q11" s="53" t="s">
        <v>26</v>
      </c>
      <c r="R11" s="53" t="s">
        <v>27</v>
      </c>
      <c r="S11" s="54"/>
      <c r="T11" s="54"/>
      <c r="U11" s="54"/>
      <c r="V11" s="50" t="s">
        <v>28</v>
      </c>
      <c r="W11" s="50" t="s">
        <v>29</v>
      </c>
      <c r="X11" s="50" t="s">
        <v>30</v>
      </c>
      <c r="Y11" s="50" t="s">
        <v>31</v>
      </c>
      <c r="Z11" s="55" t="str">
        <f>IFERROR(__xludf.DUMMYFUNCTION("LET(
  srcG, IMPORTRANGE(
    ""1zxEUXpXv19nxjBgmlH-lwo49Xf9PXrkBYj6xlVgXk0M"",
    ""SPNK (QLSP.T10-2026)!$G$5:$G""
  ),
  srcI, IMPORTRANGE(
    ""1zxEUXpXv19nxjBgmlH-lwo49Xf9PXrkBYj6xlVgXk0M"",
    ""SPNK (QLSP.T10-2026)!$I$5:$I""
  ),
  srcP, IMPORTRA"&amp;"NGE(
    ""1zxEUXpXv19nxjBgmlH-lwo49Xf9PXrkBYj6xlVgXk0M"",
    ""SPNK (QLSP.T10-2026)!$P$5:$P""
  ),
  srcM, IMPORTRANGE(
    ""1zxEUXpXv19nxjBgmlH-lwo49Xf9PXrkBYj6xlVgXk0M"",
    ""SPNK (QLSP.T10-2026)!$M$5:$M""
  ),
  BYROW(
    F11:F330,
    LAMBDA(f,
"&amp;"      LET(
        l, INDEX(L11:L330, ROW(f)-ROW(F11)+1),
        IF(
          AND(f="""",l=""""),
          {"""","""",""""},
          IFNA(
            { INDEX(srcI, MATCH(f, srcG, 0)),
              INDEX(srcP, MATCH(f, srcG, 0)),
              INDEX"&amp;"(srcM, MATCH(f, srcG, 0)) },
            IFNA(
              { INDEX(srcI, MATCH(l, srcI, 0)),
                INDEX(srcP, MATCH(l, srcI, 0)),
                INDEX(srcM, MATCH(l, srcI, 0)) },
              {"""","""",""""}
            )
          )
     "&amp;"   )
      )
    )
  )
)"),"#REF!")</f>
        <v>#REF!</v>
      </c>
      <c r="AA11" s="55" t="str">
        <f>IFERROR(__xludf.DUMMYFUNCTION("""COMPUTED_VALUE"""),"#REF!")</f>
        <v>#REF!</v>
      </c>
      <c r="AB11" s="55" t="str">
        <f>IFERROR(__xludf.DUMMYFUNCTION("""COMPUTED_VALUE"""),"#REF!")</f>
        <v>#REF!</v>
      </c>
      <c r="AC11" s="55"/>
      <c r="AD11" s="55"/>
      <c r="AE11" s="5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ht="14.25" customHeight="1">
      <c r="A12" s="56">
        <v>359.0</v>
      </c>
      <c r="B12" s="57" t="s">
        <v>32</v>
      </c>
      <c r="C12" s="58">
        <v>46147.0</v>
      </c>
      <c r="D12" s="59"/>
      <c r="E12" s="60">
        <v>26.1069</v>
      </c>
      <c r="F12" s="61">
        <v>26.36386</v>
      </c>
      <c r="G12" s="62" t="s">
        <v>33</v>
      </c>
      <c r="H12" s="63" t="s">
        <v>34</v>
      </c>
      <c r="I12" s="64">
        <v>1.0</v>
      </c>
      <c r="J12" s="63">
        <v>16.52</v>
      </c>
      <c r="K12" s="65" t="s">
        <v>35</v>
      </c>
      <c r="L12" s="66" t="s">
        <v>36</v>
      </c>
      <c r="M12" s="67">
        <v>0.0</v>
      </c>
      <c r="N12" s="68">
        <v>0.0</v>
      </c>
      <c r="O12" s="69">
        <f t="shared" ref="O12:O13" si="10">J12-(N12*0.2)</f>
        <v>16.52</v>
      </c>
      <c r="P12" s="70" t="s">
        <v>37</v>
      </c>
      <c r="Q12" s="71"/>
      <c r="R12" s="72"/>
      <c r="S12" s="71"/>
      <c r="T12" s="73"/>
      <c r="U12" s="73"/>
      <c r="V12" s="74" t="s">
        <v>38</v>
      </c>
      <c r="W12" s="74" t="b">
        <v>0</v>
      </c>
      <c r="X12" s="74" t="b">
        <v>0</v>
      </c>
      <c r="Y12" s="74" t="b">
        <v>0</v>
      </c>
      <c r="Z12" s="75" t="str">
        <f>IFERROR(__xludf.DUMMYFUNCTION("""COMPUTED_VALUE"""),"#REF!")</f>
        <v>#REF!</v>
      </c>
      <c r="AA12" s="75" t="str">
        <f>IFERROR(__xludf.DUMMYFUNCTION("""COMPUTED_VALUE"""),"#REF!")</f>
        <v>#REF!</v>
      </c>
      <c r="AB12" s="76" t="str">
        <f>IFERROR(__xludf.DUMMYFUNCTION("""COMPUTED_VALUE"""),"#REF!")</f>
        <v>#REF!</v>
      </c>
      <c r="AC12" s="75"/>
      <c r="AD12" s="55"/>
      <c r="AE12" s="5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ht="14.25" customHeight="1">
      <c r="A13" s="56">
        <v>359.0</v>
      </c>
      <c r="B13" s="57" t="s">
        <v>32</v>
      </c>
      <c r="C13" s="58">
        <v>46147.0</v>
      </c>
      <c r="D13" s="59"/>
      <c r="E13" s="60">
        <v>26.10672</v>
      </c>
      <c r="F13" s="61">
        <v>26.36361</v>
      </c>
      <c r="G13" s="62" t="s">
        <v>39</v>
      </c>
      <c r="H13" s="63" t="s">
        <v>34</v>
      </c>
      <c r="I13" s="64">
        <v>1.0</v>
      </c>
      <c r="J13" s="63">
        <v>3.82</v>
      </c>
      <c r="K13" s="65" t="s">
        <v>40</v>
      </c>
      <c r="L13" s="66" t="s">
        <v>41</v>
      </c>
      <c r="M13" s="67">
        <v>1.0</v>
      </c>
      <c r="N13" s="68">
        <v>0.003</v>
      </c>
      <c r="O13" s="69">
        <f t="shared" si="10"/>
        <v>3.8194</v>
      </c>
      <c r="P13" s="70" t="s">
        <v>42</v>
      </c>
      <c r="Q13" s="71"/>
      <c r="R13" s="72"/>
      <c r="S13" s="71"/>
      <c r="T13" s="73"/>
      <c r="U13" s="73"/>
      <c r="V13" s="74" t="s">
        <v>38</v>
      </c>
      <c r="W13" s="74" t="b">
        <v>0</v>
      </c>
      <c r="X13" s="74" t="b">
        <v>0</v>
      </c>
      <c r="Y13" s="74" t="b">
        <v>0</v>
      </c>
      <c r="Z13" s="75" t="str">
        <f>IFERROR(__xludf.DUMMYFUNCTION("""COMPUTED_VALUE"""),"#REF!")</f>
        <v>#REF!</v>
      </c>
      <c r="AA13" s="75" t="str">
        <f>IFERROR(__xludf.DUMMYFUNCTION("""COMPUTED_VALUE"""),"#REF!")</f>
        <v>#REF!</v>
      </c>
      <c r="AB13" s="76" t="str">
        <f>IFERROR(__xludf.DUMMYFUNCTION("""COMPUTED_VALUE"""),"#REF!")</f>
        <v>#REF!</v>
      </c>
      <c r="AC13" s="75"/>
      <c r="AD13" s="55"/>
      <c r="AE13" s="5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ht="14.25" customHeight="1">
      <c r="A14" s="56">
        <v>359.0</v>
      </c>
      <c r="B14" s="57" t="s">
        <v>43</v>
      </c>
      <c r="C14" s="77">
        <v>46147.0</v>
      </c>
      <c r="D14" s="78"/>
      <c r="E14" s="60">
        <v>26.10677</v>
      </c>
      <c r="F14" s="61">
        <v>26.36365</v>
      </c>
      <c r="G14" s="62" t="s">
        <v>44</v>
      </c>
      <c r="H14" s="63" t="s">
        <v>45</v>
      </c>
      <c r="I14" s="64">
        <v>1.0</v>
      </c>
      <c r="J14" s="79">
        <v>5.32</v>
      </c>
      <c r="K14" s="80" t="s">
        <v>46</v>
      </c>
      <c r="L14" s="66" t="s">
        <v>47</v>
      </c>
      <c r="M14" s="67">
        <v>216.0</v>
      </c>
      <c r="N14" s="72">
        <v>0.695</v>
      </c>
      <c r="O14" s="69">
        <v>5.181</v>
      </c>
      <c r="P14" s="70" t="s">
        <v>48</v>
      </c>
      <c r="Q14" s="71"/>
      <c r="R14" s="72"/>
      <c r="S14" s="71"/>
      <c r="T14" s="73"/>
      <c r="U14" s="73"/>
      <c r="V14" s="74" t="s">
        <v>38</v>
      </c>
      <c r="W14" s="74" t="b">
        <v>0</v>
      </c>
      <c r="X14" s="74" t="b">
        <v>0</v>
      </c>
      <c r="Y14" s="74" t="b">
        <v>0</v>
      </c>
      <c r="Z14" s="75" t="str">
        <f>IFERROR(__xludf.DUMMYFUNCTION("""COMPUTED_VALUE"""),"#REF!")</f>
        <v>#REF!</v>
      </c>
      <c r="AA14" s="75" t="str">
        <f>IFERROR(__xludf.DUMMYFUNCTION("""COMPUTED_VALUE"""),"#REF!")</f>
        <v>#REF!</v>
      </c>
      <c r="AB14" s="76" t="str">
        <f>IFERROR(__xludf.DUMMYFUNCTION("""COMPUTED_VALUE"""),"#REF!")</f>
        <v>#REF!</v>
      </c>
      <c r="AC14" s="75"/>
      <c r="AD14" s="55"/>
      <c r="AE14" s="5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4.25" customHeight="1">
      <c r="A15" s="56">
        <v>214.0</v>
      </c>
      <c r="B15" s="57" t="s">
        <v>49</v>
      </c>
      <c r="C15" s="77">
        <v>46150.0</v>
      </c>
      <c r="D15" s="78"/>
      <c r="E15" s="60">
        <v>26.10699</v>
      </c>
      <c r="F15" s="61">
        <v>26.36397</v>
      </c>
      <c r="G15" s="62" t="s">
        <v>50</v>
      </c>
      <c r="H15" s="63" t="s">
        <v>45</v>
      </c>
      <c r="I15" s="64">
        <v>1.0</v>
      </c>
      <c r="J15" s="79">
        <v>3.3</v>
      </c>
      <c r="K15" s="80" t="s">
        <v>51</v>
      </c>
      <c r="L15" s="66" t="s">
        <v>52</v>
      </c>
      <c r="M15" s="81">
        <v>22.0</v>
      </c>
      <c r="N15" s="82">
        <v>0.8150000000000001</v>
      </c>
      <c r="O15" s="69">
        <v>3.1369999999999996</v>
      </c>
      <c r="P15" s="70" t="s">
        <v>53</v>
      </c>
      <c r="Q15" s="71"/>
      <c r="R15" s="83"/>
      <c r="S15" s="71"/>
      <c r="T15" s="73"/>
      <c r="U15" s="73"/>
      <c r="V15" s="74" t="s">
        <v>38</v>
      </c>
      <c r="W15" s="74" t="b">
        <v>0</v>
      </c>
      <c r="X15" s="74" t="b">
        <v>0</v>
      </c>
      <c r="Y15" s="74" t="b">
        <v>0</v>
      </c>
      <c r="Z15" s="75" t="str">
        <f>IFERROR(__xludf.DUMMYFUNCTION("""COMPUTED_VALUE"""),"#REF!")</f>
        <v>#REF!</v>
      </c>
      <c r="AA15" s="75" t="str">
        <f>IFERROR(__xludf.DUMMYFUNCTION("""COMPUTED_VALUE"""),"#REF!")</f>
        <v>#REF!</v>
      </c>
      <c r="AB15" s="76" t="str">
        <f>IFERROR(__xludf.DUMMYFUNCTION("""COMPUTED_VALUE"""),"#REF!")</f>
        <v>#REF!</v>
      </c>
      <c r="AC15" s="75"/>
      <c r="AD15" s="55"/>
      <c r="AE15" s="5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ht="14.25" customHeight="1">
      <c r="A16" s="56">
        <v>214.0</v>
      </c>
      <c r="B16" s="57" t="s">
        <v>54</v>
      </c>
      <c r="C16" s="77">
        <v>46150.0</v>
      </c>
      <c r="D16" s="78"/>
      <c r="E16" s="60">
        <v>26.1062</v>
      </c>
      <c r="F16" s="61">
        <v>26.36401</v>
      </c>
      <c r="G16" s="62" t="s">
        <v>55</v>
      </c>
      <c r="H16" s="63" t="s">
        <v>56</v>
      </c>
      <c r="I16" s="84">
        <v>1.0</v>
      </c>
      <c r="J16" s="85">
        <v>20.72</v>
      </c>
      <c r="K16" s="80" t="s">
        <v>57</v>
      </c>
      <c r="L16" s="66" t="s">
        <v>58</v>
      </c>
      <c r="M16" s="86">
        <v>0.0</v>
      </c>
      <c r="N16" s="72">
        <v>0.0</v>
      </c>
      <c r="O16" s="87">
        <v>20.72</v>
      </c>
      <c r="P16" s="70" t="s">
        <v>59</v>
      </c>
      <c r="Q16" s="71"/>
      <c r="R16" s="72"/>
      <c r="S16" s="71"/>
      <c r="T16" s="73"/>
      <c r="U16" s="73"/>
      <c r="V16" s="74" t="s">
        <v>38</v>
      </c>
      <c r="W16" s="74" t="b">
        <v>0</v>
      </c>
      <c r="X16" s="74" t="b">
        <v>0</v>
      </c>
      <c r="Y16" s="74" t="b">
        <v>0</v>
      </c>
      <c r="Z16" s="75" t="str">
        <f>IFERROR(__xludf.DUMMYFUNCTION("""COMPUTED_VALUE"""),"#REF!")</f>
        <v>#REF!</v>
      </c>
      <c r="AA16" s="75" t="str">
        <f>IFERROR(__xludf.DUMMYFUNCTION("""COMPUTED_VALUE"""),"#REF!")</f>
        <v>#REF!</v>
      </c>
      <c r="AB16" s="76" t="str">
        <f>IFERROR(__xludf.DUMMYFUNCTION("""COMPUTED_VALUE"""),"#REF!")</f>
        <v>#REF!</v>
      </c>
      <c r="AC16" s="75"/>
      <c r="AD16" s="55"/>
      <c r="AE16" s="55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ht="14.25" customHeight="1">
      <c r="A17" s="56">
        <v>214.0</v>
      </c>
      <c r="B17" s="57" t="s">
        <v>60</v>
      </c>
      <c r="C17" s="77">
        <v>46151.0</v>
      </c>
      <c r="D17" s="78"/>
      <c r="E17" s="60">
        <v>26.10671</v>
      </c>
      <c r="F17" s="61">
        <v>26.36337</v>
      </c>
      <c r="G17" s="62" t="s">
        <v>61</v>
      </c>
      <c r="H17" s="63" t="s">
        <v>62</v>
      </c>
      <c r="I17" s="84">
        <v>1.0</v>
      </c>
      <c r="J17" s="85">
        <v>2.78</v>
      </c>
      <c r="K17" s="88" t="s">
        <v>63</v>
      </c>
      <c r="L17" s="66" t="s">
        <v>64</v>
      </c>
      <c r="M17" s="86">
        <v>32.0</v>
      </c>
      <c r="N17" s="72">
        <v>0.41200000000000003</v>
      </c>
      <c r="O17" s="87">
        <v>2.6976</v>
      </c>
      <c r="P17" s="70" t="s">
        <v>65</v>
      </c>
      <c r="Q17" s="71"/>
      <c r="R17" s="72"/>
      <c r="S17" s="71"/>
      <c r="T17" s="73"/>
      <c r="U17" s="73"/>
      <c r="V17" s="74" t="s">
        <v>38</v>
      </c>
      <c r="W17" s="74" t="b">
        <v>0</v>
      </c>
      <c r="X17" s="74" t="b">
        <v>0</v>
      </c>
      <c r="Y17" s="74" t="b">
        <v>0</v>
      </c>
      <c r="Z17" s="75" t="str">
        <f>IFERROR(__xludf.DUMMYFUNCTION("""COMPUTED_VALUE"""),"#REF!")</f>
        <v>#REF!</v>
      </c>
      <c r="AA17" s="75" t="str">
        <f>IFERROR(__xludf.DUMMYFUNCTION("""COMPUTED_VALUE"""),"#REF!")</f>
        <v>#REF!</v>
      </c>
      <c r="AB17" s="76" t="str">
        <f>IFERROR(__xludf.DUMMYFUNCTION("""COMPUTED_VALUE"""),"#REF!")</f>
        <v>#REF!</v>
      </c>
      <c r="AC17" s="75"/>
      <c r="AD17" s="55"/>
      <c r="AE17" s="55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ht="14.25" customHeight="1">
      <c r="A18" s="56">
        <v>214.0</v>
      </c>
      <c r="B18" s="89" t="s">
        <v>66</v>
      </c>
      <c r="C18" s="77">
        <v>46151.0</v>
      </c>
      <c r="D18" s="59">
        <v>115714.0</v>
      </c>
      <c r="E18" s="60"/>
      <c r="F18" s="61"/>
      <c r="G18" s="90" t="s">
        <v>67</v>
      </c>
      <c r="H18" s="63" t="s">
        <v>62</v>
      </c>
      <c r="I18" s="84">
        <v>1.0</v>
      </c>
      <c r="J18" s="91">
        <v>11.83</v>
      </c>
      <c r="K18" s="92" t="s">
        <v>68</v>
      </c>
      <c r="L18" s="66"/>
      <c r="M18" s="67"/>
      <c r="N18" s="83"/>
      <c r="O18" s="69">
        <f t="shared" ref="O18:O19" si="11">J18-(N18*0.2)</f>
        <v>11.83</v>
      </c>
      <c r="P18" s="70" t="s">
        <v>53</v>
      </c>
      <c r="Q18" s="71"/>
      <c r="R18" s="72"/>
      <c r="S18" s="71"/>
      <c r="T18" s="73"/>
      <c r="U18" s="73"/>
      <c r="V18" s="74" t="s">
        <v>38</v>
      </c>
      <c r="W18" s="74" t="b">
        <v>0</v>
      </c>
      <c r="X18" s="74" t="b">
        <v>0</v>
      </c>
      <c r="Y18" s="74" t="b">
        <v>0</v>
      </c>
      <c r="Z18" s="75" t="str">
        <f>IFERROR(__xludf.DUMMYFUNCTION("""COMPUTED_VALUE"""),"")</f>
        <v/>
      </c>
      <c r="AA18" s="75" t="str">
        <f>IFERROR(__xludf.DUMMYFUNCTION("""COMPUTED_VALUE"""),"")</f>
        <v/>
      </c>
      <c r="AB18" s="76" t="str">
        <f>IFERROR(__xludf.DUMMYFUNCTION("""COMPUTED_VALUE"""),"")</f>
        <v/>
      </c>
      <c r="AC18" s="75"/>
      <c r="AD18" s="55"/>
      <c r="AE18" s="5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ht="14.25" customHeight="1">
      <c r="A19" s="74">
        <v>214.0</v>
      </c>
      <c r="B19" s="89" t="s">
        <v>66</v>
      </c>
      <c r="C19" s="77">
        <v>46151.0</v>
      </c>
      <c r="D19" s="59">
        <v>115712.0</v>
      </c>
      <c r="E19" s="93"/>
      <c r="F19" s="61"/>
      <c r="G19" s="90" t="s">
        <v>69</v>
      </c>
      <c r="H19" s="63" t="s">
        <v>62</v>
      </c>
      <c r="I19" s="84">
        <v>1.0</v>
      </c>
      <c r="J19" s="94">
        <v>10.1</v>
      </c>
      <c r="K19" s="92" t="s">
        <v>68</v>
      </c>
      <c r="L19" s="95"/>
      <c r="M19" s="92"/>
      <c r="N19" s="94"/>
      <c r="O19" s="69">
        <f t="shared" si="11"/>
        <v>10.1</v>
      </c>
      <c r="P19" s="70" t="s">
        <v>53</v>
      </c>
      <c r="Q19" s="71"/>
      <c r="R19" s="96"/>
      <c r="S19" s="73"/>
      <c r="T19" s="73"/>
      <c r="U19" s="73"/>
      <c r="V19" s="74" t="s">
        <v>38</v>
      </c>
      <c r="W19" s="74" t="b">
        <v>0</v>
      </c>
      <c r="X19" s="74" t="b">
        <v>0</v>
      </c>
      <c r="Y19" s="74" t="b">
        <v>0</v>
      </c>
      <c r="Z19" s="75" t="str">
        <f>IFERROR(__xludf.DUMMYFUNCTION("""COMPUTED_VALUE"""),"")</f>
        <v/>
      </c>
      <c r="AA19" s="75" t="str">
        <f>IFERROR(__xludf.DUMMYFUNCTION("""COMPUTED_VALUE"""),"")</f>
        <v/>
      </c>
      <c r="AB19" s="76" t="str">
        <f>IFERROR(__xludf.DUMMYFUNCTION("""COMPUTED_VALUE"""),"")</f>
        <v/>
      </c>
      <c r="AC19" s="75"/>
      <c r="AD19" s="55"/>
      <c r="AE19" s="5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ht="14.25" customHeight="1">
      <c r="A20" s="74">
        <v>214.0</v>
      </c>
      <c r="B20" s="97" t="s">
        <v>70</v>
      </c>
      <c r="C20" s="98">
        <v>46153.0</v>
      </c>
      <c r="D20" s="78"/>
      <c r="E20" s="93">
        <v>25.9336</v>
      </c>
      <c r="F20" s="61">
        <v>25.32577</v>
      </c>
      <c r="G20" s="99" t="s">
        <v>71</v>
      </c>
      <c r="H20" s="100" t="s">
        <v>45</v>
      </c>
      <c r="I20" s="84">
        <v>1.0</v>
      </c>
      <c r="J20" s="101">
        <v>3.27</v>
      </c>
      <c r="K20" s="88" t="s">
        <v>51</v>
      </c>
      <c r="L20" s="102" t="s">
        <v>72</v>
      </c>
      <c r="M20" s="103">
        <v>152.0</v>
      </c>
      <c r="N20" s="104">
        <v>0.702</v>
      </c>
      <c r="O20" s="87">
        <v>3.1296</v>
      </c>
      <c r="P20" s="70" t="s">
        <v>53</v>
      </c>
      <c r="Q20" s="71"/>
      <c r="R20" s="96"/>
      <c r="S20" s="73"/>
      <c r="T20" s="73"/>
      <c r="U20" s="73"/>
      <c r="V20" s="74" t="s">
        <v>38</v>
      </c>
      <c r="W20" s="74" t="b">
        <v>0</v>
      </c>
      <c r="X20" s="74" t="b">
        <v>0</v>
      </c>
      <c r="Y20" s="74" t="b">
        <v>0</v>
      </c>
      <c r="Z20" s="75" t="str">
        <f>IFERROR(__xludf.DUMMYFUNCTION("""COMPUTED_VALUE"""),"#REF!")</f>
        <v>#REF!</v>
      </c>
      <c r="AA20" s="75" t="str">
        <f>IFERROR(__xludf.DUMMYFUNCTION("""COMPUTED_VALUE"""),"#REF!")</f>
        <v>#REF!</v>
      </c>
      <c r="AB20" s="76" t="str">
        <f>IFERROR(__xludf.DUMMYFUNCTION("""COMPUTED_VALUE"""),"#REF!")</f>
        <v>#REF!</v>
      </c>
      <c r="AC20" s="75"/>
      <c r="AD20" s="55"/>
      <c r="AE20" s="55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ht="14.25" customHeight="1">
      <c r="A21" s="74">
        <v>214.0</v>
      </c>
      <c r="B21" s="97" t="s">
        <v>73</v>
      </c>
      <c r="C21" s="105">
        <v>46154.0</v>
      </c>
      <c r="D21" s="78"/>
      <c r="E21" s="93" t="s">
        <v>74</v>
      </c>
      <c r="F21" s="61"/>
      <c r="G21" s="99" t="s">
        <v>75</v>
      </c>
      <c r="H21" s="100" t="s">
        <v>76</v>
      </c>
      <c r="I21" s="64">
        <v>8.0</v>
      </c>
      <c r="J21" s="100">
        <v>39.25</v>
      </c>
      <c r="K21" s="92" t="s">
        <v>77</v>
      </c>
      <c r="L21" s="102" t="s">
        <v>78</v>
      </c>
      <c r="M21" s="106"/>
      <c r="N21" s="107"/>
      <c r="O21" s="69">
        <f t="shared" ref="O21:O22" si="12">J21-(N21*0.2)</f>
        <v>39.25</v>
      </c>
      <c r="P21" s="70" t="s">
        <v>53</v>
      </c>
      <c r="Q21" s="71"/>
      <c r="R21" s="96"/>
      <c r="S21" s="73"/>
      <c r="T21" s="73"/>
      <c r="U21" s="73"/>
      <c r="V21" s="74" t="s">
        <v>38</v>
      </c>
      <c r="W21" s="74" t="b">
        <v>0</v>
      </c>
      <c r="X21" s="74" t="b">
        <v>0</v>
      </c>
      <c r="Y21" s="74" t="b">
        <v>0</v>
      </c>
      <c r="Z21" s="75" t="str">
        <f>IFERROR(__xludf.DUMMYFUNCTION("""COMPUTED_VALUE"""),"#REF!")</f>
        <v>#REF!</v>
      </c>
      <c r="AA21" s="75" t="str">
        <f>IFERROR(__xludf.DUMMYFUNCTION("""COMPUTED_VALUE"""),"#REF!")</f>
        <v>#REF!</v>
      </c>
      <c r="AB21" s="76" t="str">
        <f>IFERROR(__xludf.DUMMYFUNCTION("""COMPUTED_VALUE"""),"#REF!")</f>
        <v>#REF!</v>
      </c>
      <c r="AC21" s="75"/>
      <c r="AD21" s="55"/>
      <c r="AE21" s="5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ht="14.25" customHeight="1">
      <c r="A22" s="74" t="s">
        <v>15</v>
      </c>
      <c r="B22" s="97" t="s">
        <v>73</v>
      </c>
      <c r="C22" s="105">
        <v>46154.0</v>
      </c>
      <c r="D22" s="78"/>
      <c r="E22" s="93" t="s">
        <v>79</v>
      </c>
      <c r="F22" s="61"/>
      <c r="G22" s="99" t="s">
        <v>80</v>
      </c>
      <c r="H22" s="100" t="s">
        <v>81</v>
      </c>
      <c r="I22" s="64">
        <v>1.0</v>
      </c>
      <c r="J22" s="100">
        <v>99.53</v>
      </c>
      <c r="K22" s="92" t="s">
        <v>77</v>
      </c>
      <c r="L22" s="102" t="s">
        <v>82</v>
      </c>
      <c r="M22" s="92"/>
      <c r="N22" s="94"/>
      <c r="O22" s="69">
        <f t="shared" si="12"/>
        <v>99.53</v>
      </c>
      <c r="P22" s="70" t="s">
        <v>83</v>
      </c>
      <c r="Q22" s="71"/>
      <c r="R22" s="96"/>
      <c r="S22" s="73"/>
      <c r="T22" s="73"/>
      <c r="U22" s="73"/>
      <c r="V22" s="74" t="s">
        <v>84</v>
      </c>
      <c r="W22" s="74" t="b">
        <v>0</v>
      </c>
      <c r="X22" s="74" t="b">
        <v>0</v>
      </c>
      <c r="Y22" s="74" t="b">
        <v>0</v>
      </c>
      <c r="Z22" s="75" t="str">
        <f>IFERROR(__xludf.DUMMYFUNCTION("""COMPUTED_VALUE"""),"#REF!")</f>
        <v>#REF!</v>
      </c>
      <c r="AA22" s="75" t="str">
        <f>IFERROR(__xludf.DUMMYFUNCTION("""COMPUTED_VALUE"""),"#REF!")</f>
        <v>#REF!</v>
      </c>
      <c r="AB22" s="76" t="str">
        <f>IFERROR(__xludf.DUMMYFUNCTION("""COMPUTED_VALUE"""),"#REF!")</f>
        <v>#REF!</v>
      </c>
      <c r="AC22" s="75"/>
      <c r="AD22" s="55"/>
      <c r="AE22" s="5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ht="14.25" customHeight="1">
      <c r="A23" s="74">
        <v>214.0</v>
      </c>
      <c r="B23" s="97" t="s">
        <v>85</v>
      </c>
      <c r="C23" s="98">
        <v>46156.0</v>
      </c>
      <c r="D23" s="78"/>
      <c r="E23" s="93">
        <v>26.1068</v>
      </c>
      <c r="F23" s="61">
        <v>26.36368</v>
      </c>
      <c r="G23" s="99" t="s">
        <v>86</v>
      </c>
      <c r="H23" s="100" t="s">
        <v>34</v>
      </c>
      <c r="I23" s="84">
        <v>1.0</v>
      </c>
      <c r="J23" s="101">
        <v>10.37</v>
      </c>
      <c r="K23" s="88" t="s">
        <v>87</v>
      </c>
      <c r="L23" s="102" t="s">
        <v>88</v>
      </c>
      <c r="M23" s="103">
        <v>36.0</v>
      </c>
      <c r="N23" s="104">
        <v>0.645</v>
      </c>
      <c r="O23" s="87">
        <v>10.241</v>
      </c>
      <c r="P23" s="70" t="s">
        <v>65</v>
      </c>
      <c r="Q23" s="71"/>
      <c r="R23" s="96"/>
      <c r="S23" s="73"/>
      <c r="T23" s="73"/>
      <c r="U23" s="73"/>
      <c r="V23" s="74" t="s">
        <v>38</v>
      </c>
      <c r="W23" s="74" t="b">
        <v>0</v>
      </c>
      <c r="X23" s="74" t="b">
        <v>0</v>
      </c>
      <c r="Y23" s="74" t="b">
        <v>0</v>
      </c>
      <c r="Z23" s="75" t="str">
        <f>IFERROR(__xludf.DUMMYFUNCTION("""COMPUTED_VALUE"""),"#REF!")</f>
        <v>#REF!</v>
      </c>
      <c r="AA23" s="75" t="str">
        <f>IFERROR(__xludf.DUMMYFUNCTION("""COMPUTED_VALUE"""),"#REF!")</f>
        <v>#REF!</v>
      </c>
      <c r="AB23" s="76" t="str">
        <f>IFERROR(__xludf.DUMMYFUNCTION("""COMPUTED_VALUE"""),"#REF!")</f>
        <v>#REF!</v>
      </c>
      <c r="AC23" s="75"/>
      <c r="AD23" s="55"/>
      <c r="AE23" s="5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ht="14.25" customHeight="1">
      <c r="A24" s="74">
        <v>359.0</v>
      </c>
      <c r="B24" s="97" t="s">
        <v>89</v>
      </c>
      <c r="C24" s="98">
        <v>46157.0</v>
      </c>
      <c r="D24" s="108"/>
      <c r="E24" s="93">
        <v>26.10739</v>
      </c>
      <c r="F24" s="61">
        <v>26.36485</v>
      </c>
      <c r="G24" s="99" t="s">
        <v>90</v>
      </c>
      <c r="H24" s="100" t="s">
        <v>34</v>
      </c>
      <c r="I24" s="84">
        <v>1.0</v>
      </c>
      <c r="J24" s="101">
        <v>2.54</v>
      </c>
      <c r="K24" s="88" t="s">
        <v>91</v>
      </c>
      <c r="L24" s="102" t="s">
        <v>92</v>
      </c>
      <c r="M24" s="103">
        <v>0.0</v>
      </c>
      <c r="N24" s="104">
        <v>0.0</v>
      </c>
      <c r="O24" s="87">
        <v>2.54</v>
      </c>
      <c r="P24" s="70" t="s">
        <v>93</v>
      </c>
      <c r="Q24" s="71"/>
      <c r="R24" s="96"/>
      <c r="S24" s="73"/>
      <c r="T24" s="73"/>
      <c r="U24" s="73"/>
      <c r="V24" s="74" t="s">
        <v>38</v>
      </c>
      <c r="W24" s="74" t="b">
        <v>0</v>
      </c>
      <c r="X24" s="74" t="b">
        <v>0</v>
      </c>
      <c r="Y24" s="74" t="b">
        <v>0</v>
      </c>
      <c r="Z24" s="75" t="str">
        <f>IFERROR(__xludf.DUMMYFUNCTION("""COMPUTED_VALUE"""),"#REF!")</f>
        <v>#REF!</v>
      </c>
      <c r="AA24" s="75" t="str">
        <f>IFERROR(__xludf.DUMMYFUNCTION("""COMPUTED_VALUE"""),"#REF!")</f>
        <v>#REF!</v>
      </c>
      <c r="AB24" s="76" t="str">
        <f>IFERROR(__xludf.DUMMYFUNCTION("""COMPUTED_VALUE"""),"#REF!")</f>
        <v>#REF!</v>
      </c>
      <c r="AC24" s="75"/>
      <c r="AD24" s="55"/>
      <c r="AE24" s="5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ht="14.25" customHeight="1">
      <c r="A25" s="74">
        <v>359.0</v>
      </c>
      <c r="B25" s="97" t="s">
        <v>94</v>
      </c>
      <c r="C25" s="98">
        <v>46158.0</v>
      </c>
      <c r="D25" s="109"/>
      <c r="E25" s="93">
        <v>26.10781</v>
      </c>
      <c r="F25" s="61">
        <v>26.3654</v>
      </c>
      <c r="G25" s="99" t="s">
        <v>95</v>
      </c>
      <c r="H25" s="100" t="s">
        <v>45</v>
      </c>
      <c r="I25" s="84">
        <v>1.0</v>
      </c>
      <c r="J25" s="101">
        <v>4.79</v>
      </c>
      <c r="K25" s="88" t="s">
        <v>46</v>
      </c>
      <c r="L25" s="102" t="s">
        <v>96</v>
      </c>
      <c r="M25" s="103">
        <v>28.0</v>
      </c>
      <c r="N25" s="104">
        <v>1.6939999999999997</v>
      </c>
      <c r="O25" s="87">
        <v>4.4512</v>
      </c>
      <c r="P25" s="70" t="s">
        <v>97</v>
      </c>
      <c r="Q25" s="71"/>
      <c r="R25" s="96"/>
      <c r="S25" s="73"/>
      <c r="T25" s="73"/>
      <c r="U25" s="73"/>
      <c r="V25" s="74" t="s">
        <v>38</v>
      </c>
      <c r="W25" s="74"/>
      <c r="X25" s="74"/>
      <c r="Y25" s="74"/>
      <c r="Z25" s="75" t="str">
        <f>IFERROR(__xludf.DUMMYFUNCTION("""COMPUTED_VALUE"""),"#REF!")</f>
        <v>#REF!</v>
      </c>
      <c r="AA25" s="75" t="str">
        <f>IFERROR(__xludf.DUMMYFUNCTION("""COMPUTED_VALUE"""),"#REF!")</f>
        <v>#REF!</v>
      </c>
      <c r="AB25" s="76" t="str">
        <f>IFERROR(__xludf.DUMMYFUNCTION("""COMPUTED_VALUE"""),"#REF!")</f>
        <v>#REF!</v>
      </c>
      <c r="AC25" s="75"/>
      <c r="AD25" s="55"/>
      <c r="AE25" s="5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ht="14.25" customHeight="1">
      <c r="A26" s="74">
        <v>359.0</v>
      </c>
      <c r="B26" s="97" t="s">
        <v>98</v>
      </c>
      <c r="C26" s="98">
        <v>46160.0</v>
      </c>
      <c r="D26" s="109"/>
      <c r="E26" s="93">
        <v>26.10793</v>
      </c>
      <c r="F26" s="61">
        <v>26.36553</v>
      </c>
      <c r="G26" s="99" t="s">
        <v>99</v>
      </c>
      <c r="H26" s="100" t="s">
        <v>45</v>
      </c>
      <c r="I26" s="84">
        <v>1.0</v>
      </c>
      <c r="J26" s="101">
        <v>4.12</v>
      </c>
      <c r="K26" s="88" t="s">
        <v>51</v>
      </c>
      <c r="L26" s="102" t="s">
        <v>100</v>
      </c>
      <c r="M26" s="103">
        <v>48.0</v>
      </c>
      <c r="N26" s="104">
        <v>0.6509999999999999</v>
      </c>
      <c r="O26" s="87">
        <v>3.9898000000000002</v>
      </c>
      <c r="P26" s="70" t="s">
        <v>97</v>
      </c>
      <c r="Q26" s="71"/>
      <c r="R26" s="96"/>
      <c r="S26" s="73"/>
      <c r="T26" s="73"/>
      <c r="U26" s="73"/>
      <c r="V26" s="74" t="s">
        <v>38</v>
      </c>
      <c r="W26" s="74" t="b">
        <v>0</v>
      </c>
      <c r="X26" s="74" t="b">
        <v>0</v>
      </c>
      <c r="Y26" s="74" t="b">
        <v>0</v>
      </c>
      <c r="Z26" s="75" t="str">
        <f>IFERROR(__xludf.DUMMYFUNCTION("""COMPUTED_VALUE"""),"#REF!")</f>
        <v>#REF!</v>
      </c>
      <c r="AA26" s="75" t="str">
        <f>IFERROR(__xludf.DUMMYFUNCTION("""COMPUTED_VALUE"""),"#REF!")</f>
        <v>#REF!</v>
      </c>
      <c r="AB26" s="76" t="str">
        <f>IFERROR(__xludf.DUMMYFUNCTION("""COMPUTED_VALUE"""),"#REF!")</f>
        <v>#REF!</v>
      </c>
      <c r="AC26" s="75"/>
      <c r="AD26" s="55"/>
      <c r="AE26" s="5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ht="14.25" customHeight="1">
      <c r="A27" s="74">
        <v>214.0</v>
      </c>
      <c r="B27" s="97" t="s">
        <v>101</v>
      </c>
      <c r="C27" s="98">
        <v>46162.0</v>
      </c>
      <c r="D27" s="108"/>
      <c r="E27" s="93">
        <v>26.10699</v>
      </c>
      <c r="F27" s="61">
        <v>26.36399</v>
      </c>
      <c r="G27" s="110" t="s">
        <v>102</v>
      </c>
      <c r="H27" s="100" t="s">
        <v>45</v>
      </c>
      <c r="I27" s="111">
        <v>1.0</v>
      </c>
      <c r="J27" s="101">
        <v>3.75</v>
      </c>
      <c r="K27" s="88" t="s">
        <v>46</v>
      </c>
      <c r="L27" s="102" t="s">
        <v>103</v>
      </c>
      <c r="M27" s="103">
        <v>72.0</v>
      </c>
      <c r="N27" s="104">
        <v>0.899</v>
      </c>
      <c r="O27" s="87">
        <v>3.5702</v>
      </c>
      <c r="P27" s="70" t="s">
        <v>53</v>
      </c>
      <c r="Q27" s="71"/>
      <c r="R27" s="96"/>
      <c r="S27" s="73"/>
      <c r="T27" s="73"/>
      <c r="U27" s="73"/>
      <c r="V27" s="74" t="s">
        <v>38</v>
      </c>
      <c r="W27" s="74" t="b">
        <v>0</v>
      </c>
      <c r="X27" s="74" t="b">
        <v>0</v>
      </c>
      <c r="Y27" s="74" t="b">
        <v>0</v>
      </c>
      <c r="Z27" s="75" t="str">
        <f>IFERROR(__xludf.DUMMYFUNCTION("""COMPUTED_VALUE"""),"#REF!")</f>
        <v>#REF!</v>
      </c>
      <c r="AA27" s="75" t="str">
        <f>IFERROR(__xludf.DUMMYFUNCTION("""COMPUTED_VALUE"""),"#REF!")</f>
        <v>#REF!</v>
      </c>
      <c r="AB27" s="76" t="str">
        <f>IFERROR(__xludf.DUMMYFUNCTION("""COMPUTED_VALUE"""),"#REF!")</f>
        <v>#REF!</v>
      </c>
      <c r="AC27" s="75"/>
      <c r="AD27" s="55"/>
      <c r="AE27" s="55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ht="14.25" customHeight="1">
      <c r="A28" s="74">
        <v>214.0</v>
      </c>
      <c r="B28" s="97" t="s">
        <v>104</v>
      </c>
      <c r="C28" s="98">
        <v>46163.0</v>
      </c>
      <c r="D28" s="109"/>
      <c r="E28" s="93">
        <v>26.10755</v>
      </c>
      <c r="F28" s="61">
        <v>26.36516</v>
      </c>
      <c r="G28" s="99" t="s">
        <v>105</v>
      </c>
      <c r="H28" s="112" t="s">
        <v>106</v>
      </c>
      <c r="I28" s="84">
        <v>1.0</v>
      </c>
      <c r="J28" s="101">
        <v>5.54</v>
      </c>
      <c r="K28" s="88" t="s">
        <v>57</v>
      </c>
      <c r="L28" s="102" t="s">
        <v>107</v>
      </c>
      <c r="M28" s="103"/>
      <c r="N28" s="104"/>
      <c r="O28" s="87">
        <v>5.54</v>
      </c>
      <c r="P28" s="113" t="s">
        <v>108</v>
      </c>
      <c r="Q28" s="71"/>
      <c r="R28" s="96"/>
      <c r="S28" s="73"/>
      <c r="T28" s="73"/>
      <c r="U28" s="73"/>
      <c r="V28" s="74" t="s">
        <v>38</v>
      </c>
      <c r="W28" s="74" t="b">
        <v>0</v>
      </c>
      <c r="X28" s="74" t="b">
        <v>0</v>
      </c>
      <c r="Y28" s="74" t="b">
        <v>0</v>
      </c>
      <c r="Z28" s="75" t="str">
        <f>IFERROR(__xludf.DUMMYFUNCTION("""COMPUTED_VALUE"""),"#REF!")</f>
        <v>#REF!</v>
      </c>
      <c r="AA28" s="75" t="str">
        <f>IFERROR(__xludf.DUMMYFUNCTION("""COMPUTED_VALUE"""),"#REF!")</f>
        <v>#REF!</v>
      </c>
      <c r="AB28" s="76" t="str">
        <f>IFERROR(__xludf.DUMMYFUNCTION("""COMPUTED_VALUE"""),"#REF!")</f>
        <v>#REF!</v>
      </c>
      <c r="AC28" s="75"/>
      <c r="AD28" s="55"/>
      <c r="AE28" s="5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ht="14.25" customHeight="1">
      <c r="A29" s="74">
        <v>359.0</v>
      </c>
      <c r="B29" s="97" t="s">
        <v>109</v>
      </c>
      <c r="C29" s="98">
        <v>46163.0</v>
      </c>
      <c r="D29" s="109"/>
      <c r="E29" s="93">
        <v>26.10796</v>
      </c>
      <c r="F29" s="61">
        <v>26.36562</v>
      </c>
      <c r="G29" s="99" t="s">
        <v>110</v>
      </c>
      <c r="H29" s="100" t="s">
        <v>45</v>
      </c>
      <c r="I29" s="84">
        <v>1.0</v>
      </c>
      <c r="J29" s="101">
        <v>3.71</v>
      </c>
      <c r="K29" s="88" t="s">
        <v>111</v>
      </c>
      <c r="L29" s="102" t="s">
        <v>112</v>
      </c>
      <c r="M29" s="103">
        <v>31.0</v>
      </c>
      <c r="N29" s="104">
        <v>0.9079999999999999</v>
      </c>
      <c r="O29" s="87">
        <v>3.5284</v>
      </c>
      <c r="P29" s="113" t="s">
        <v>113</v>
      </c>
      <c r="Q29" s="71"/>
      <c r="R29" s="96"/>
      <c r="S29" s="73"/>
      <c r="T29" s="73"/>
      <c r="U29" s="73"/>
      <c r="V29" s="74" t="s">
        <v>38</v>
      </c>
      <c r="W29" s="74" t="b">
        <v>0</v>
      </c>
      <c r="X29" s="74" t="b">
        <v>0</v>
      </c>
      <c r="Y29" s="74" t="b">
        <v>0</v>
      </c>
      <c r="Z29" s="75" t="str">
        <f>IFERROR(__xludf.DUMMYFUNCTION("""COMPUTED_VALUE"""),"#REF!")</f>
        <v>#REF!</v>
      </c>
      <c r="AA29" s="75" t="str">
        <f>IFERROR(__xludf.DUMMYFUNCTION("""COMPUTED_VALUE"""),"#REF!")</f>
        <v>#REF!</v>
      </c>
      <c r="AB29" s="76" t="str">
        <f>IFERROR(__xludf.DUMMYFUNCTION("""COMPUTED_VALUE"""),"#REF!")</f>
        <v>#REF!</v>
      </c>
      <c r="AC29" s="75"/>
      <c r="AD29" s="55"/>
      <c r="AE29" s="55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ht="14.25" customHeight="1">
      <c r="A30" s="74">
        <v>214.0</v>
      </c>
      <c r="B30" s="97" t="s">
        <v>114</v>
      </c>
      <c r="C30" s="105">
        <v>46163.0</v>
      </c>
      <c r="D30" s="114"/>
      <c r="E30" s="93" t="s">
        <v>74</v>
      </c>
      <c r="F30" s="61"/>
      <c r="G30" s="99" t="s">
        <v>115</v>
      </c>
      <c r="H30" s="100" t="s">
        <v>76</v>
      </c>
      <c r="I30" s="64">
        <v>9.0</v>
      </c>
      <c r="J30" s="100">
        <v>54.05</v>
      </c>
      <c r="K30" s="92" t="s">
        <v>77</v>
      </c>
      <c r="L30" s="102" t="s">
        <v>116</v>
      </c>
      <c r="M30" s="103"/>
      <c r="N30" s="104"/>
      <c r="O30" s="100">
        <v>54.05</v>
      </c>
      <c r="P30" s="70" t="s">
        <v>53</v>
      </c>
      <c r="Q30" s="71"/>
      <c r="R30" s="96"/>
      <c r="S30" s="73"/>
      <c r="T30" s="73"/>
      <c r="U30" s="73"/>
      <c r="V30" s="74" t="s">
        <v>84</v>
      </c>
      <c r="W30" s="74" t="b">
        <v>0</v>
      </c>
      <c r="X30" s="74" t="b">
        <v>0</v>
      </c>
      <c r="Y30" s="74" t="b">
        <v>0</v>
      </c>
      <c r="Z30" s="75" t="str">
        <f>IFERROR(__xludf.DUMMYFUNCTION("""COMPUTED_VALUE"""),"#REF!")</f>
        <v>#REF!</v>
      </c>
      <c r="AA30" s="75" t="str">
        <f>IFERROR(__xludf.DUMMYFUNCTION("""COMPUTED_VALUE"""),"#REF!")</f>
        <v>#REF!</v>
      </c>
      <c r="AB30" s="76" t="str">
        <f>IFERROR(__xludf.DUMMYFUNCTION("""COMPUTED_VALUE"""),"#REF!")</f>
        <v>#REF!</v>
      </c>
      <c r="AC30" s="75"/>
      <c r="AD30" s="55"/>
      <c r="AE30" s="5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ht="14.25" customHeight="1">
      <c r="A31" s="74">
        <v>214.0</v>
      </c>
      <c r="B31" s="97" t="s">
        <v>117</v>
      </c>
      <c r="C31" s="98">
        <v>46164.0</v>
      </c>
      <c r="D31" s="108"/>
      <c r="E31" s="93">
        <v>26.10692</v>
      </c>
      <c r="F31" s="61">
        <v>26.36388</v>
      </c>
      <c r="G31" s="99" t="s">
        <v>118</v>
      </c>
      <c r="H31" s="100" t="s">
        <v>45</v>
      </c>
      <c r="I31" s="111">
        <v>1.0</v>
      </c>
      <c r="J31" s="101">
        <v>67.67</v>
      </c>
      <c r="K31" s="88" t="s">
        <v>91</v>
      </c>
      <c r="L31" s="102" t="s">
        <v>119</v>
      </c>
      <c r="M31" s="103">
        <v>0.0</v>
      </c>
      <c r="N31" s="104">
        <v>0.0</v>
      </c>
      <c r="O31" s="87">
        <v>67.67</v>
      </c>
      <c r="P31" s="70" t="s">
        <v>120</v>
      </c>
      <c r="Q31" s="71"/>
      <c r="R31" s="115"/>
      <c r="S31" s="116"/>
      <c r="T31" s="116"/>
      <c r="U31" s="116"/>
      <c r="V31" s="74" t="s">
        <v>38</v>
      </c>
      <c r="W31" s="117"/>
      <c r="X31" s="117"/>
      <c r="Y31" s="117"/>
      <c r="Z31" s="75" t="str">
        <f>IFERROR(__xludf.DUMMYFUNCTION("""COMPUTED_VALUE"""),"#REF!")</f>
        <v>#REF!</v>
      </c>
      <c r="AA31" s="75" t="str">
        <f>IFERROR(__xludf.DUMMYFUNCTION("""COMPUTED_VALUE"""),"#REF!")</f>
        <v>#REF!</v>
      </c>
      <c r="AB31" s="76" t="str">
        <f>IFERROR(__xludf.DUMMYFUNCTION("""COMPUTED_VALUE"""),"#REF!")</f>
        <v>#REF!</v>
      </c>
      <c r="AC31" s="75"/>
      <c r="AD31" s="55"/>
      <c r="AE31" s="5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ht="14.25" customHeight="1">
      <c r="A32" s="74">
        <v>359.0</v>
      </c>
      <c r="B32" s="97" t="s">
        <v>121</v>
      </c>
      <c r="C32" s="98">
        <v>46164.0</v>
      </c>
      <c r="D32" s="108"/>
      <c r="E32" s="93">
        <v>26.10677</v>
      </c>
      <c r="F32" s="61">
        <v>26.36554</v>
      </c>
      <c r="G32" s="99" t="s">
        <v>122</v>
      </c>
      <c r="H32" s="100" t="s">
        <v>45</v>
      </c>
      <c r="I32" s="111">
        <v>1.0</v>
      </c>
      <c r="J32" s="101">
        <v>5.25</v>
      </c>
      <c r="K32" s="88" t="s">
        <v>46</v>
      </c>
      <c r="L32" s="102" t="s">
        <v>123</v>
      </c>
      <c r="M32" s="103">
        <v>204.0</v>
      </c>
      <c r="N32" s="104">
        <v>0.656</v>
      </c>
      <c r="O32" s="87">
        <v>5.1188</v>
      </c>
      <c r="P32" s="70" t="s">
        <v>48</v>
      </c>
      <c r="Q32" s="71"/>
      <c r="R32" s="96"/>
      <c r="S32" s="73"/>
      <c r="T32" s="73"/>
      <c r="U32" s="73"/>
      <c r="V32" s="74" t="s">
        <v>38</v>
      </c>
      <c r="W32" s="74" t="b">
        <v>0</v>
      </c>
      <c r="X32" s="74" t="b">
        <v>0</v>
      </c>
      <c r="Y32" s="74" t="b">
        <v>0</v>
      </c>
      <c r="Z32" s="75" t="str">
        <f>IFERROR(__xludf.DUMMYFUNCTION("""COMPUTED_VALUE"""),"#REF!")</f>
        <v>#REF!</v>
      </c>
      <c r="AA32" s="75" t="str">
        <f>IFERROR(__xludf.DUMMYFUNCTION("""COMPUTED_VALUE"""),"#REF!")</f>
        <v>#REF!</v>
      </c>
      <c r="AB32" s="76" t="str">
        <f>IFERROR(__xludf.DUMMYFUNCTION("""COMPUTED_VALUE"""),"#REF!")</f>
        <v>#REF!</v>
      </c>
      <c r="AC32" s="75"/>
      <c r="AD32" s="55"/>
      <c r="AE32" s="55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ht="14.25" customHeight="1">
      <c r="A33" s="74">
        <v>359.0</v>
      </c>
      <c r="B33" s="97" t="s">
        <v>124</v>
      </c>
      <c r="C33" s="98">
        <v>46165.0</v>
      </c>
      <c r="D33" s="108"/>
      <c r="E33" s="93">
        <v>26.10804</v>
      </c>
      <c r="F33" s="61">
        <v>26.36581</v>
      </c>
      <c r="G33" s="99" t="s">
        <v>125</v>
      </c>
      <c r="H33" s="100" t="s">
        <v>34</v>
      </c>
      <c r="I33" s="111">
        <v>1.0</v>
      </c>
      <c r="J33" s="101">
        <v>3.97</v>
      </c>
      <c r="K33" s="88" t="s">
        <v>126</v>
      </c>
      <c r="L33" s="102" t="s">
        <v>41</v>
      </c>
      <c r="M33" s="103">
        <v>1.0</v>
      </c>
      <c r="N33" s="104">
        <v>0.003</v>
      </c>
      <c r="O33" s="87">
        <v>3.9694000000000003</v>
      </c>
      <c r="P33" s="70" t="s">
        <v>127</v>
      </c>
      <c r="Q33" s="71"/>
      <c r="R33" s="74"/>
      <c r="S33" s="73"/>
      <c r="T33" s="73"/>
      <c r="U33" s="73"/>
      <c r="V33" s="74" t="s">
        <v>38</v>
      </c>
      <c r="W33" s="74" t="b">
        <v>0</v>
      </c>
      <c r="X33" s="74" t="b">
        <v>0</v>
      </c>
      <c r="Y33" s="74" t="b">
        <v>0</v>
      </c>
      <c r="Z33" s="75" t="str">
        <f>IFERROR(__xludf.DUMMYFUNCTION("""COMPUTED_VALUE"""),"#REF!")</f>
        <v>#REF!</v>
      </c>
      <c r="AA33" s="75" t="str">
        <f>IFERROR(__xludf.DUMMYFUNCTION("""COMPUTED_VALUE"""),"#REF!")</f>
        <v>#REF!</v>
      </c>
      <c r="AB33" s="76" t="str">
        <f>IFERROR(__xludf.DUMMYFUNCTION("""COMPUTED_VALUE"""),"#REF!")</f>
        <v>#REF!</v>
      </c>
      <c r="AC33" s="75"/>
      <c r="AD33" s="55"/>
      <c r="AE33" s="55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ht="14.25" customHeight="1">
      <c r="A34" s="74">
        <v>214.0</v>
      </c>
      <c r="B34" s="97" t="s">
        <v>128</v>
      </c>
      <c r="C34" s="98">
        <v>46170.0</v>
      </c>
      <c r="D34" s="109"/>
      <c r="E34" s="118">
        <v>26.10779</v>
      </c>
      <c r="F34" s="119">
        <v>26.36532</v>
      </c>
      <c r="G34" s="110" t="s">
        <v>129</v>
      </c>
      <c r="H34" s="100" t="s">
        <v>45</v>
      </c>
      <c r="I34" s="84">
        <v>1.0</v>
      </c>
      <c r="J34" s="101">
        <v>1.79</v>
      </c>
      <c r="K34" s="88" t="s">
        <v>63</v>
      </c>
      <c r="L34" s="102" t="s">
        <v>130</v>
      </c>
      <c r="M34" s="103">
        <v>7.0</v>
      </c>
      <c r="N34" s="104">
        <v>0.71</v>
      </c>
      <c r="O34" s="87">
        <v>1.6480000000000001</v>
      </c>
      <c r="P34" s="70" t="s">
        <v>131</v>
      </c>
      <c r="Q34" s="71"/>
      <c r="R34" s="96"/>
      <c r="S34" s="73"/>
      <c r="T34" s="73"/>
      <c r="U34" s="73"/>
      <c r="V34" s="74" t="s">
        <v>38</v>
      </c>
      <c r="W34" s="74" t="b">
        <v>0</v>
      </c>
      <c r="X34" s="74" t="b">
        <v>0</v>
      </c>
      <c r="Y34" s="74" t="b">
        <v>0</v>
      </c>
      <c r="Z34" s="75" t="str">
        <f>IFERROR(__xludf.DUMMYFUNCTION("""COMPUTED_VALUE"""),"#REF!")</f>
        <v>#REF!</v>
      </c>
      <c r="AA34" s="75" t="str">
        <f>IFERROR(__xludf.DUMMYFUNCTION("""COMPUTED_VALUE"""),"#REF!")</f>
        <v>#REF!</v>
      </c>
      <c r="AB34" s="76" t="str">
        <f>IFERROR(__xludf.DUMMYFUNCTION("""COMPUTED_VALUE"""),"#REF!")</f>
        <v>#REF!</v>
      </c>
      <c r="AC34" s="75"/>
      <c r="AD34" s="55"/>
      <c r="AE34" s="55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ht="14.25" customHeight="1">
      <c r="A35" s="74">
        <v>214.0</v>
      </c>
      <c r="B35" s="97" t="s">
        <v>132</v>
      </c>
      <c r="C35" s="98">
        <v>46172.0</v>
      </c>
      <c r="D35" s="109"/>
      <c r="E35" s="118" t="s">
        <v>133</v>
      </c>
      <c r="F35" s="119" t="s">
        <v>134</v>
      </c>
      <c r="G35" s="99" t="s">
        <v>135</v>
      </c>
      <c r="H35" s="100" t="s">
        <v>45</v>
      </c>
      <c r="I35" s="84">
        <v>1.0</v>
      </c>
      <c r="J35" s="101">
        <v>2.0</v>
      </c>
      <c r="K35" s="88" t="s">
        <v>136</v>
      </c>
      <c r="L35" s="102" t="s">
        <v>137</v>
      </c>
      <c r="M35" s="103">
        <v>1.0</v>
      </c>
      <c r="N35" s="104">
        <v>0.015</v>
      </c>
      <c r="O35" s="87">
        <v>1.997</v>
      </c>
      <c r="P35" s="70" t="s">
        <v>138</v>
      </c>
      <c r="Q35" s="71"/>
      <c r="R35" s="96"/>
      <c r="S35" s="73"/>
      <c r="T35" s="73"/>
      <c r="U35" s="73"/>
      <c r="V35" s="74" t="s">
        <v>38</v>
      </c>
      <c r="W35" s="74" t="b">
        <v>0</v>
      </c>
      <c r="X35" s="74" t="b">
        <v>0</v>
      </c>
      <c r="Y35" s="74" t="b">
        <v>0</v>
      </c>
      <c r="Z35" s="75" t="str">
        <f>IFERROR(__xludf.DUMMYFUNCTION("""COMPUTED_VALUE"""),"#REF!")</f>
        <v>#REF!</v>
      </c>
      <c r="AA35" s="75" t="str">
        <f>IFERROR(__xludf.DUMMYFUNCTION("""COMPUTED_VALUE"""),"#REF!")</f>
        <v>#REF!</v>
      </c>
      <c r="AB35" s="76" t="str">
        <f>IFERROR(__xludf.DUMMYFUNCTION("""COMPUTED_VALUE"""),"#REF!")</f>
        <v>#REF!</v>
      </c>
      <c r="AC35" s="75"/>
      <c r="AD35" s="55"/>
      <c r="AE35" s="55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ht="14.25" customHeight="1">
      <c r="A36" s="74">
        <v>214.0</v>
      </c>
      <c r="B36" s="97" t="s">
        <v>132</v>
      </c>
      <c r="C36" s="98">
        <v>46172.0</v>
      </c>
      <c r="D36" s="108"/>
      <c r="E36" s="118" t="s">
        <v>133</v>
      </c>
      <c r="F36" s="119" t="s">
        <v>139</v>
      </c>
      <c r="G36" s="99" t="s">
        <v>140</v>
      </c>
      <c r="H36" s="100" t="s">
        <v>45</v>
      </c>
      <c r="I36" s="111">
        <v>1.0</v>
      </c>
      <c r="J36" s="101">
        <v>2.02</v>
      </c>
      <c r="K36" s="88" t="s">
        <v>136</v>
      </c>
      <c r="L36" s="102" t="s">
        <v>141</v>
      </c>
      <c r="M36" s="103">
        <v>1.0</v>
      </c>
      <c r="N36" s="104">
        <v>0.015</v>
      </c>
      <c r="O36" s="87">
        <v>2.017</v>
      </c>
      <c r="P36" s="70" t="s">
        <v>53</v>
      </c>
      <c r="Q36" s="71"/>
      <c r="R36" s="96"/>
      <c r="S36" s="73"/>
      <c r="T36" s="73"/>
      <c r="U36" s="73"/>
      <c r="V36" s="74" t="s">
        <v>38</v>
      </c>
      <c r="W36" s="74" t="b">
        <v>0</v>
      </c>
      <c r="X36" s="74" t="b">
        <v>0</v>
      </c>
      <c r="Y36" s="74" t="b">
        <v>0</v>
      </c>
      <c r="Z36" s="75" t="str">
        <f>IFERROR(__xludf.DUMMYFUNCTION("""COMPUTED_VALUE"""),"#REF!")</f>
        <v>#REF!</v>
      </c>
      <c r="AA36" s="75" t="str">
        <f>IFERROR(__xludf.DUMMYFUNCTION("""COMPUTED_VALUE"""),"#REF!")</f>
        <v>#REF!</v>
      </c>
      <c r="AB36" s="76" t="str">
        <f>IFERROR(__xludf.DUMMYFUNCTION("""COMPUTED_VALUE"""),"#REF!")</f>
        <v>#REF!</v>
      </c>
      <c r="AC36" s="75"/>
      <c r="AD36" s="55"/>
      <c r="AE36" s="55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ht="14.25" customHeight="1">
      <c r="A37" s="74"/>
      <c r="B37" s="97"/>
      <c r="C37" s="105"/>
      <c r="D37" s="59"/>
      <c r="E37" s="93"/>
      <c r="F37" s="61"/>
      <c r="G37" s="99"/>
      <c r="H37" s="100"/>
      <c r="I37" s="120"/>
      <c r="J37" s="100"/>
      <c r="K37" s="92"/>
      <c r="L37" s="102"/>
      <c r="M37" s="106"/>
      <c r="N37" s="107"/>
      <c r="O37" s="69"/>
      <c r="P37" s="70"/>
      <c r="Q37" s="71"/>
      <c r="R37" s="96"/>
      <c r="S37" s="73"/>
      <c r="T37" s="73"/>
      <c r="U37" s="73"/>
      <c r="V37" s="74"/>
      <c r="W37" s="74" t="b">
        <v>0</v>
      </c>
      <c r="X37" s="74" t="b">
        <v>0</v>
      </c>
      <c r="Y37" s="74" t="b">
        <v>0</v>
      </c>
      <c r="Z37" s="75" t="str">
        <f>IFERROR(__xludf.DUMMYFUNCTION("""COMPUTED_VALUE"""),"")</f>
        <v/>
      </c>
      <c r="AA37" s="75" t="str">
        <f>IFERROR(__xludf.DUMMYFUNCTION("""COMPUTED_VALUE"""),"")</f>
        <v/>
      </c>
      <c r="AB37" s="76" t="str">
        <f>IFERROR(__xludf.DUMMYFUNCTION("""COMPUTED_VALUE"""),"")</f>
        <v/>
      </c>
      <c r="AC37" s="75"/>
      <c r="AD37" s="55"/>
      <c r="AE37" s="55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ht="14.25" customHeight="1">
      <c r="A38" s="74"/>
      <c r="B38" s="97"/>
      <c r="C38" s="105"/>
      <c r="D38" s="59"/>
      <c r="E38" s="93"/>
      <c r="F38" s="121"/>
      <c r="G38" s="99"/>
      <c r="H38" s="100"/>
      <c r="I38" s="120"/>
      <c r="J38" s="100"/>
      <c r="K38" s="92"/>
      <c r="L38" s="102"/>
      <c r="M38" s="106"/>
      <c r="N38" s="107"/>
      <c r="O38" s="69"/>
      <c r="P38" s="70"/>
      <c r="Q38" s="71"/>
      <c r="R38" s="96"/>
      <c r="S38" s="73"/>
      <c r="T38" s="73"/>
      <c r="U38" s="73"/>
      <c r="V38" s="74"/>
      <c r="W38" s="74" t="b">
        <v>0</v>
      </c>
      <c r="X38" s="74" t="b">
        <v>0</v>
      </c>
      <c r="Y38" s="74" t="b">
        <v>0</v>
      </c>
      <c r="Z38" s="75" t="str">
        <f>IFERROR(__xludf.DUMMYFUNCTION("""COMPUTED_VALUE"""),"")</f>
        <v/>
      </c>
      <c r="AA38" s="75" t="str">
        <f>IFERROR(__xludf.DUMMYFUNCTION("""COMPUTED_VALUE"""),"")</f>
        <v/>
      </c>
      <c r="AB38" s="76" t="str">
        <f>IFERROR(__xludf.DUMMYFUNCTION("""COMPUTED_VALUE"""),"")</f>
        <v/>
      </c>
      <c r="AC38" s="75"/>
      <c r="AD38" s="55"/>
      <c r="AE38" s="55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ht="14.25" customHeight="1">
      <c r="A39" s="74"/>
      <c r="B39" s="97"/>
      <c r="C39" s="105"/>
      <c r="D39" s="59"/>
      <c r="E39" s="93"/>
      <c r="F39" s="121"/>
      <c r="G39" s="99"/>
      <c r="H39" s="100"/>
      <c r="I39" s="120"/>
      <c r="J39" s="100"/>
      <c r="K39" s="92"/>
      <c r="L39" s="102"/>
      <c r="M39" s="106"/>
      <c r="N39" s="107"/>
      <c r="O39" s="69"/>
      <c r="P39" s="70"/>
      <c r="Q39" s="71"/>
      <c r="R39" s="96"/>
      <c r="S39" s="73"/>
      <c r="T39" s="73"/>
      <c r="U39" s="73"/>
      <c r="V39" s="74"/>
      <c r="W39" s="74" t="b">
        <v>0</v>
      </c>
      <c r="X39" s="74" t="b">
        <v>0</v>
      </c>
      <c r="Y39" s="74" t="b">
        <v>0</v>
      </c>
      <c r="Z39" s="75" t="str">
        <f>IFERROR(__xludf.DUMMYFUNCTION("""COMPUTED_VALUE"""),"")</f>
        <v/>
      </c>
      <c r="AA39" s="75" t="str">
        <f>IFERROR(__xludf.DUMMYFUNCTION("""COMPUTED_VALUE"""),"")</f>
        <v/>
      </c>
      <c r="AB39" s="76" t="str">
        <f>IFERROR(__xludf.DUMMYFUNCTION("""COMPUTED_VALUE"""),"")</f>
        <v/>
      </c>
      <c r="AC39" s="75"/>
      <c r="AD39" s="55"/>
      <c r="AE39" s="55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ht="14.25" customHeight="1">
      <c r="A40" s="74"/>
      <c r="B40" s="97"/>
      <c r="C40" s="105"/>
      <c r="D40" s="59"/>
      <c r="E40" s="93"/>
      <c r="F40" s="121"/>
      <c r="G40" s="99"/>
      <c r="H40" s="100"/>
      <c r="I40" s="120"/>
      <c r="J40" s="100"/>
      <c r="K40" s="92"/>
      <c r="L40" s="102"/>
      <c r="M40" s="106"/>
      <c r="N40" s="107"/>
      <c r="O40" s="69"/>
      <c r="P40" s="70"/>
      <c r="Q40" s="71"/>
      <c r="R40" s="96"/>
      <c r="S40" s="73"/>
      <c r="T40" s="73"/>
      <c r="U40" s="73"/>
      <c r="V40" s="74"/>
      <c r="W40" s="74" t="b">
        <v>0</v>
      </c>
      <c r="X40" s="74" t="b">
        <v>0</v>
      </c>
      <c r="Y40" s="74" t="b">
        <v>0</v>
      </c>
      <c r="Z40" s="75" t="str">
        <f>IFERROR(__xludf.DUMMYFUNCTION("""COMPUTED_VALUE"""),"")</f>
        <v/>
      </c>
      <c r="AA40" s="75" t="str">
        <f>IFERROR(__xludf.DUMMYFUNCTION("""COMPUTED_VALUE"""),"")</f>
        <v/>
      </c>
      <c r="AB40" s="76" t="str">
        <f>IFERROR(__xludf.DUMMYFUNCTION("""COMPUTED_VALUE"""),"")</f>
        <v/>
      </c>
      <c r="AC40" s="75"/>
      <c r="AD40" s="55"/>
      <c r="AE40" s="55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ht="14.25" customHeight="1">
      <c r="A41" s="74"/>
      <c r="B41" s="97"/>
      <c r="C41" s="105"/>
      <c r="D41" s="59"/>
      <c r="E41" s="93"/>
      <c r="F41" s="121"/>
      <c r="G41" s="99"/>
      <c r="H41" s="100"/>
      <c r="I41" s="120"/>
      <c r="J41" s="100"/>
      <c r="K41" s="92"/>
      <c r="L41" s="102"/>
      <c r="M41" s="106"/>
      <c r="N41" s="107"/>
      <c r="O41" s="69"/>
      <c r="P41" s="70"/>
      <c r="Q41" s="71"/>
      <c r="R41" s="96"/>
      <c r="S41" s="73"/>
      <c r="T41" s="73"/>
      <c r="U41" s="73"/>
      <c r="V41" s="74"/>
      <c r="W41" s="74" t="b">
        <v>0</v>
      </c>
      <c r="X41" s="74" t="b">
        <v>0</v>
      </c>
      <c r="Y41" s="74" t="b">
        <v>0</v>
      </c>
      <c r="Z41" s="75" t="str">
        <f>IFERROR(__xludf.DUMMYFUNCTION("""COMPUTED_VALUE"""),"")</f>
        <v/>
      </c>
      <c r="AA41" s="75" t="str">
        <f>IFERROR(__xludf.DUMMYFUNCTION("""COMPUTED_VALUE"""),"")</f>
        <v/>
      </c>
      <c r="AB41" s="76" t="str">
        <f>IFERROR(__xludf.DUMMYFUNCTION("""COMPUTED_VALUE"""),"")</f>
        <v/>
      </c>
      <c r="AC41" s="75"/>
      <c r="AD41" s="55"/>
      <c r="AE41" s="55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ht="14.25" customHeight="1">
      <c r="A42" s="74"/>
      <c r="B42" s="97"/>
      <c r="C42" s="105"/>
      <c r="D42" s="117"/>
      <c r="E42" s="93"/>
      <c r="F42" s="121"/>
      <c r="G42" s="99"/>
      <c r="H42" s="100"/>
      <c r="I42" s="120"/>
      <c r="J42" s="100"/>
      <c r="K42" s="92"/>
      <c r="L42" s="102"/>
      <c r="M42" s="106"/>
      <c r="N42" s="107"/>
      <c r="O42" s="69"/>
      <c r="P42" s="70"/>
      <c r="Q42" s="71"/>
      <c r="R42" s="96"/>
      <c r="S42" s="73"/>
      <c r="T42" s="73"/>
      <c r="U42" s="73"/>
      <c r="V42" s="74"/>
      <c r="W42" s="74" t="b">
        <v>0</v>
      </c>
      <c r="X42" s="74" t="b">
        <v>0</v>
      </c>
      <c r="Y42" s="74" t="b">
        <v>0</v>
      </c>
      <c r="Z42" s="75" t="str">
        <f>IFERROR(__xludf.DUMMYFUNCTION("""COMPUTED_VALUE"""),"")</f>
        <v/>
      </c>
      <c r="AA42" s="75" t="str">
        <f>IFERROR(__xludf.DUMMYFUNCTION("""COMPUTED_VALUE"""),"")</f>
        <v/>
      </c>
      <c r="AB42" s="76" t="str">
        <f>IFERROR(__xludf.DUMMYFUNCTION("""COMPUTED_VALUE"""),"")</f>
        <v/>
      </c>
      <c r="AC42" s="75"/>
      <c r="AD42" s="55"/>
      <c r="AE42" s="55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ht="14.25" customHeight="1">
      <c r="A43" s="74"/>
      <c r="B43" s="97"/>
      <c r="C43" s="105"/>
      <c r="D43" s="117"/>
      <c r="E43" s="93"/>
      <c r="F43" s="121"/>
      <c r="G43" s="99"/>
      <c r="H43" s="100"/>
      <c r="I43" s="120"/>
      <c r="J43" s="100"/>
      <c r="K43" s="92"/>
      <c r="L43" s="102"/>
      <c r="M43" s="106"/>
      <c r="N43" s="107"/>
      <c r="O43" s="69"/>
      <c r="P43" s="70"/>
      <c r="Q43" s="71"/>
      <c r="R43" s="96"/>
      <c r="S43" s="73"/>
      <c r="T43" s="73"/>
      <c r="U43" s="73"/>
      <c r="V43" s="74"/>
      <c r="W43" s="74" t="b">
        <v>0</v>
      </c>
      <c r="X43" s="74" t="b">
        <v>0</v>
      </c>
      <c r="Y43" s="74" t="b">
        <v>0</v>
      </c>
      <c r="Z43" s="75" t="str">
        <f>IFERROR(__xludf.DUMMYFUNCTION("""COMPUTED_VALUE"""),"")</f>
        <v/>
      </c>
      <c r="AA43" s="75" t="str">
        <f>IFERROR(__xludf.DUMMYFUNCTION("""COMPUTED_VALUE"""),"")</f>
        <v/>
      </c>
      <c r="AB43" s="76" t="str">
        <f>IFERROR(__xludf.DUMMYFUNCTION("""COMPUTED_VALUE"""),"")</f>
        <v/>
      </c>
      <c r="AC43" s="75"/>
      <c r="AD43" s="55"/>
      <c r="AE43" s="55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ht="14.25" customHeight="1">
      <c r="A44" s="74"/>
      <c r="B44" s="97"/>
      <c r="C44" s="105"/>
      <c r="D44" s="117"/>
      <c r="E44" s="93"/>
      <c r="F44" s="121"/>
      <c r="G44" s="99"/>
      <c r="H44" s="100"/>
      <c r="I44" s="120"/>
      <c r="J44" s="100"/>
      <c r="K44" s="92"/>
      <c r="L44" s="102"/>
      <c r="M44" s="106"/>
      <c r="N44" s="107"/>
      <c r="O44" s="69"/>
      <c r="P44" s="70"/>
      <c r="Q44" s="71"/>
      <c r="R44" s="96"/>
      <c r="S44" s="73"/>
      <c r="T44" s="73"/>
      <c r="U44" s="73"/>
      <c r="V44" s="74"/>
      <c r="W44" s="74" t="b">
        <v>0</v>
      </c>
      <c r="X44" s="74" t="b">
        <v>0</v>
      </c>
      <c r="Y44" s="74" t="b">
        <v>0</v>
      </c>
      <c r="Z44" s="75" t="str">
        <f>IFERROR(__xludf.DUMMYFUNCTION("""COMPUTED_VALUE"""),"")</f>
        <v/>
      </c>
      <c r="AA44" s="75" t="str">
        <f>IFERROR(__xludf.DUMMYFUNCTION("""COMPUTED_VALUE"""),"")</f>
        <v/>
      </c>
      <c r="AB44" s="76" t="str">
        <f>IFERROR(__xludf.DUMMYFUNCTION("""COMPUTED_VALUE"""),"")</f>
        <v/>
      </c>
      <c r="AC44" s="75"/>
      <c r="AD44" s="55"/>
      <c r="AE44" s="55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ht="14.25" customHeight="1">
      <c r="A45" s="74"/>
      <c r="B45" s="97"/>
      <c r="C45" s="105"/>
      <c r="D45" s="117"/>
      <c r="E45" s="93"/>
      <c r="F45" s="121"/>
      <c r="G45" s="99"/>
      <c r="H45" s="100"/>
      <c r="I45" s="120"/>
      <c r="J45" s="100"/>
      <c r="K45" s="92"/>
      <c r="L45" s="102"/>
      <c r="M45" s="106"/>
      <c r="N45" s="107"/>
      <c r="O45" s="69"/>
      <c r="P45" s="70"/>
      <c r="Q45" s="71"/>
      <c r="R45" s="96"/>
      <c r="S45" s="73"/>
      <c r="T45" s="73"/>
      <c r="U45" s="73"/>
      <c r="V45" s="74"/>
      <c r="W45" s="74" t="b">
        <v>0</v>
      </c>
      <c r="X45" s="74" t="b">
        <v>0</v>
      </c>
      <c r="Y45" s="74" t="b">
        <v>0</v>
      </c>
      <c r="Z45" s="75" t="str">
        <f>IFERROR(__xludf.DUMMYFUNCTION("""COMPUTED_VALUE"""),"")</f>
        <v/>
      </c>
      <c r="AA45" s="75" t="str">
        <f>IFERROR(__xludf.DUMMYFUNCTION("""COMPUTED_VALUE"""),"")</f>
        <v/>
      </c>
      <c r="AB45" s="76" t="str">
        <f>IFERROR(__xludf.DUMMYFUNCTION("""COMPUTED_VALUE"""),"")</f>
        <v/>
      </c>
      <c r="AC45" s="75"/>
      <c r="AD45" s="55"/>
      <c r="AE45" s="55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ht="14.25" customHeight="1">
      <c r="A46" s="74"/>
      <c r="B46" s="97"/>
      <c r="C46" s="105"/>
      <c r="D46" s="117"/>
      <c r="E46" s="93"/>
      <c r="F46" s="121"/>
      <c r="G46" s="99"/>
      <c r="H46" s="100"/>
      <c r="I46" s="120"/>
      <c r="J46" s="100"/>
      <c r="K46" s="92"/>
      <c r="L46" s="102"/>
      <c r="M46" s="106"/>
      <c r="N46" s="107"/>
      <c r="O46" s="69"/>
      <c r="P46" s="70"/>
      <c r="Q46" s="71"/>
      <c r="R46" s="96"/>
      <c r="S46" s="73"/>
      <c r="T46" s="73"/>
      <c r="U46" s="73"/>
      <c r="V46" s="74"/>
      <c r="W46" s="74" t="b">
        <v>0</v>
      </c>
      <c r="X46" s="74" t="b">
        <v>0</v>
      </c>
      <c r="Y46" s="74" t="b">
        <v>0</v>
      </c>
      <c r="Z46" s="75" t="str">
        <f>IFERROR(__xludf.DUMMYFUNCTION("""COMPUTED_VALUE"""),"")</f>
        <v/>
      </c>
      <c r="AA46" s="75" t="str">
        <f>IFERROR(__xludf.DUMMYFUNCTION("""COMPUTED_VALUE"""),"")</f>
        <v/>
      </c>
      <c r="AB46" s="76" t="str">
        <f>IFERROR(__xludf.DUMMYFUNCTION("""COMPUTED_VALUE"""),"")</f>
        <v/>
      </c>
      <c r="AC46" s="75"/>
      <c r="AD46" s="55"/>
      <c r="AE46" s="55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ht="14.25" customHeight="1">
      <c r="A47" s="74"/>
      <c r="B47" s="97"/>
      <c r="C47" s="105"/>
      <c r="D47" s="59"/>
      <c r="E47" s="93"/>
      <c r="F47" s="121"/>
      <c r="G47" s="99"/>
      <c r="H47" s="100"/>
      <c r="I47" s="120"/>
      <c r="J47" s="100"/>
      <c r="K47" s="92"/>
      <c r="L47" s="102"/>
      <c r="M47" s="106"/>
      <c r="N47" s="107"/>
      <c r="O47" s="69"/>
      <c r="P47" s="70"/>
      <c r="Q47" s="71"/>
      <c r="R47" s="96"/>
      <c r="S47" s="73"/>
      <c r="T47" s="73"/>
      <c r="U47" s="73"/>
      <c r="V47" s="74"/>
      <c r="W47" s="74" t="b">
        <v>0</v>
      </c>
      <c r="X47" s="74" t="b">
        <v>0</v>
      </c>
      <c r="Y47" s="74" t="b">
        <v>0</v>
      </c>
      <c r="Z47" s="75" t="str">
        <f>IFERROR(__xludf.DUMMYFUNCTION("""COMPUTED_VALUE"""),"")</f>
        <v/>
      </c>
      <c r="AA47" s="75" t="str">
        <f>IFERROR(__xludf.DUMMYFUNCTION("""COMPUTED_VALUE"""),"")</f>
        <v/>
      </c>
      <c r="AB47" s="76" t="str">
        <f>IFERROR(__xludf.DUMMYFUNCTION("""COMPUTED_VALUE"""),"")</f>
        <v/>
      </c>
      <c r="AC47" s="75"/>
      <c r="AD47" s="55"/>
      <c r="AE47" s="55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ht="14.25" customHeight="1">
      <c r="A48" s="74"/>
      <c r="B48" s="97"/>
      <c r="C48" s="105"/>
      <c r="D48" s="59"/>
      <c r="E48" s="93"/>
      <c r="F48" s="121"/>
      <c r="G48" s="99"/>
      <c r="H48" s="100"/>
      <c r="I48" s="120"/>
      <c r="J48" s="100"/>
      <c r="K48" s="92"/>
      <c r="L48" s="102"/>
      <c r="M48" s="106"/>
      <c r="N48" s="107"/>
      <c r="O48" s="69"/>
      <c r="P48" s="70"/>
      <c r="Q48" s="71"/>
      <c r="R48" s="96"/>
      <c r="S48" s="122"/>
      <c r="T48" s="122"/>
      <c r="U48" s="122"/>
      <c r="V48" s="74"/>
      <c r="W48" s="74" t="b">
        <v>0</v>
      </c>
      <c r="X48" s="74" t="b">
        <v>0</v>
      </c>
      <c r="Y48" s="74" t="b">
        <v>0</v>
      </c>
      <c r="Z48" s="75" t="str">
        <f>IFERROR(__xludf.DUMMYFUNCTION("""COMPUTED_VALUE"""),"")</f>
        <v/>
      </c>
      <c r="AA48" s="75" t="str">
        <f>IFERROR(__xludf.DUMMYFUNCTION("""COMPUTED_VALUE"""),"")</f>
        <v/>
      </c>
      <c r="AB48" s="76" t="str">
        <f>IFERROR(__xludf.DUMMYFUNCTION("""COMPUTED_VALUE"""),"")</f>
        <v/>
      </c>
      <c r="AC48" s="75"/>
      <c r="AD48" s="55"/>
      <c r="AE48" s="55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ht="14.25" customHeight="1">
      <c r="A49" s="74"/>
      <c r="B49" s="97"/>
      <c r="C49" s="105"/>
      <c r="D49" s="117"/>
      <c r="E49" s="93"/>
      <c r="F49" s="121"/>
      <c r="G49" s="99"/>
      <c r="H49" s="100"/>
      <c r="I49" s="64"/>
      <c r="J49" s="100"/>
      <c r="K49" s="92"/>
      <c r="L49" s="102"/>
      <c r="M49" s="106"/>
      <c r="N49" s="107"/>
      <c r="O49" s="69"/>
      <c r="P49" s="70"/>
      <c r="Q49" s="71"/>
      <c r="R49" s="96"/>
      <c r="S49" s="122"/>
      <c r="T49" s="122"/>
      <c r="U49" s="122"/>
      <c r="V49" s="74"/>
      <c r="W49" s="74" t="b">
        <v>0</v>
      </c>
      <c r="X49" s="74" t="b">
        <v>0</v>
      </c>
      <c r="Y49" s="74" t="b">
        <v>1</v>
      </c>
      <c r="Z49" s="75" t="str">
        <f>IFERROR(__xludf.DUMMYFUNCTION("""COMPUTED_VALUE"""),"")</f>
        <v/>
      </c>
      <c r="AA49" s="75" t="str">
        <f>IFERROR(__xludf.DUMMYFUNCTION("""COMPUTED_VALUE"""),"")</f>
        <v/>
      </c>
      <c r="AB49" s="76" t="str">
        <f>IFERROR(__xludf.DUMMYFUNCTION("""COMPUTED_VALUE"""),"")</f>
        <v/>
      </c>
      <c r="AC49" s="75"/>
      <c r="AD49" s="55"/>
      <c r="AE49" s="55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ht="14.25" customHeight="1">
      <c r="A50" s="74"/>
      <c r="B50" s="97"/>
      <c r="C50" s="105"/>
      <c r="D50" s="59"/>
      <c r="E50" s="93"/>
      <c r="F50" s="121"/>
      <c r="G50" s="99"/>
      <c r="H50" s="100"/>
      <c r="I50" s="64"/>
      <c r="J50" s="100"/>
      <c r="K50" s="92"/>
      <c r="L50" s="102"/>
      <c r="M50" s="103"/>
      <c r="N50" s="104"/>
      <c r="O50" s="69"/>
      <c r="P50" s="123"/>
      <c r="Q50" s="71"/>
      <c r="R50" s="96"/>
      <c r="S50" s="122"/>
      <c r="T50" s="122"/>
      <c r="U50" s="122"/>
      <c r="V50" s="74"/>
      <c r="W50" s="74" t="b">
        <v>0</v>
      </c>
      <c r="X50" s="74" t="b">
        <v>0</v>
      </c>
      <c r="Y50" s="74" t="b">
        <v>0</v>
      </c>
      <c r="Z50" s="75" t="str">
        <f>IFERROR(__xludf.DUMMYFUNCTION("""COMPUTED_VALUE"""),"")</f>
        <v/>
      </c>
      <c r="AA50" s="75" t="str">
        <f>IFERROR(__xludf.DUMMYFUNCTION("""COMPUTED_VALUE"""),"")</f>
        <v/>
      </c>
      <c r="AB50" s="76" t="str">
        <f>IFERROR(__xludf.DUMMYFUNCTION("""COMPUTED_VALUE"""),"")</f>
        <v/>
      </c>
      <c r="AC50" s="75"/>
      <c r="AD50" s="55"/>
      <c r="AE50" s="55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ht="14.25" customHeight="1">
      <c r="A51" s="74"/>
      <c r="B51" s="97"/>
      <c r="C51" s="105"/>
      <c r="D51" s="59"/>
      <c r="E51" s="93"/>
      <c r="F51" s="121"/>
      <c r="G51" s="99"/>
      <c r="H51" s="100"/>
      <c r="I51" s="64"/>
      <c r="J51" s="100"/>
      <c r="K51" s="92"/>
      <c r="L51" s="102"/>
      <c r="M51" s="103"/>
      <c r="N51" s="104"/>
      <c r="O51" s="69"/>
      <c r="P51" s="123"/>
      <c r="Q51" s="71"/>
      <c r="R51" s="96"/>
      <c r="S51" s="122"/>
      <c r="T51" s="122"/>
      <c r="U51" s="122"/>
      <c r="V51" s="74"/>
      <c r="W51" s="74" t="b">
        <v>0</v>
      </c>
      <c r="X51" s="74" t="b">
        <v>0</v>
      </c>
      <c r="Y51" s="74" t="b">
        <v>0</v>
      </c>
      <c r="Z51" s="75" t="str">
        <f>IFERROR(__xludf.DUMMYFUNCTION("""COMPUTED_VALUE"""),"")</f>
        <v/>
      </c>
      <c r="AA51" s="75" t="str">
        <f>IFERROR(__xludf.DUMMYFUNCTION("""COMPUTED_VALUE"""),"")</f>
        <v/>
      </c>
      <c r="AB51" s="76" t="str">
        <f>IFERROR(__xludf.DUMMYFUNCTION("""COMPUTED_VALUE"""),"")</f>
        <v/>
      </c>
      <c r="AC51" s="75"/>
      <c r="AD51" s="55"/>
      <c r="AE51" s="55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ht="14.25" customHeight="1">
      <c r="A52" s="74"/>
      <c r="B52" s="97"/>
      <c r="C52" s="98"/>
      <c r="D52" s="117"/>
      <c r="E52" s="93"/>
      <c r="F52" s="121"/>
      <c r="G52" s="99"/>
      <c r="H52" s="100"/>
      <c r="I52" s="84"/>
      <c r="J52" s="101"/>
      <c r="K52" s="88"/>
      <c r="L52" s="102"/>
      <c r="M52" s="103"/>
      <c r="N52" s="104"/>
      <c r="O52" s="69"/>
      <c r="P52" s="70"/>
      <c r="Q52" s="71"/>
      <c r="R52" s="96"/>
      <c r="S52" s="122"/>
      <c r="T52" s="122"/>
      <c r="U52" s="122"/>
      <c r="V52" s="74"/>
      <c r="W52" s="74" t="b">
        <v>0</v>
      </c>
      <c r="X52" s="74" t="b">
        <v>0</v>
      </c>
      <c r="Y52" s="74" t="b">
        <v>1</v>
      </c>
      <c r="Z52" s="75" t="str">
        <f>IFERROR(__xludf.DUMMYFUNCTION("""COMPUTED_VALUE"""),"")</f>
        <v/>
      </c>
      <c r="AA52" s="75" t="str">
        <f>IFERROR(__xludf.DUMMYFUNCTION("""COMPUTED_VALUE"""),"")</f>
        <v/>
      </c>
      <c r="AB52" s="76" t="str">
        <f>IFERROR(__xludf.DUMMYFUNCTION("""COMPUTED_VALUE"""),"")</f>
        <v/>
      </c>
      <c r="AC52" s="75"/>
      <c r="AD52" s="55"/>
      <c r="AE52" s="55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ht="14.25" customHeight="1">
      <c r="A53" s="74"/>
      <c r="B53" s="97"/>
      <c r="C53" s="98"/>
      <c r="D53" s="117"/>
      <c r="E53" s="93"/>
      <c r="F53" s="121"/>
      <c r="G53" s="99"/>
      <c r="H53" s="100"/>
      <c r="I53" s="84"/>
      <c r="J53" s="101"/>
      <c r="K53" s="88"/>
      <c r="L53" s="102"/>
      <c r="M53" s="103"/>
      <c r="N53" s="104"/>
      <c r="O53" s="69"/>
      <c r="P53" s="70"/>
      <c r="Q53" s="71"/>
      <c r="R53" s="74"/>
      <c r="S53" s="122"/>
      <c r="T53" s="122"/>
      <c r="U53" s="122"/>
      <c r="V53" s="74"/>
      <c r="W53" s="74" t="b">
        <v>0</v>
      </c>
      <c r="X53" s="74" t="b">
        <v>0</v>
      </c>
      <c r="Y53" s="74" t="b">
        <v>1</v>
      </c>
      <c r="Z53" s="75" t="str">
        <f>IFERROR(__xludf.DUMMYFUNCTION("""COMPUTED_VALUE"""),"")</f>
        <v/>
      </c>
      <c r="AA53" s="75" t="str">
        <f>IFERROR(__xludf.DUMMYFUNCTION("""COMPUTED_VALUE"""),"")</f>
        <v/>
      </c>
      <c r="AB53" s="76" t="str">
        <f>IFERROR(__xludf.DUMMYFUNCTION("""COMPUTED_VALUE"""),"")</f>
        <v/>
      </c>
      <c r="AC53" s="55"/>
      <c r="AD53" s="55"/>
      <c r="AE53" s="55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ht="14.25" customHeight="1">
      <c r="A54" s="74"/>
      <c r="B54" s="97"/>
      <c r="C54" s="124"/>
      <c r="D54" s="59"/>
      <c r="E54" s="93"/>
      <c r="F54" s="121"/>
      <c r="G54" s="99"/>
      <c r="H54" s="100"/>
      <c r="I54" s="64"/>
      <c r="J54" s="100"/>
      <c r="K54" s="92"/>
      <c r="L54" s="102"/>
      <c r="M54" s="106"/>
      <c r="N54" s="107"/>
      <c r="O54" s="69"/>
      <c r="P54" s="70"/>
      <c r="Q54" s="71"/>
      <c r="R54" s="74"/>
      <c r="S54" s="122"/>
      <c r="T54" s="122"/>
      <c r="U54" s="122"/>
      <c r="V54" s="74"/>
      <c r="W54" s="74" t="b">
        <v>0</v>
      </c>
      <c r="X54" s="74" t="b">
        <v>0</v>
      </c>
      <c r="Y54" s="74" t="b">
        <v>0</v>
      </c>
      <c r="Z54" s="75" t="str">
        <f>IFERROR(__xludf.DUMMYFUNCTION("""COMPUTED_VALUE"""),"")</f>
        <v/>
      </c>
      <c r="AA54" s="75" t="str">
        <f>IFERROR(__xludf.DUMMYFUNCTION("""COMPUTED_VALUE"""),"")</f>
        <v/>
      </c>
      <c r="AB54" s="76" t="str">
        <f>IFERROR(__xludf.DUMMYFUNCTION("""COMPUTED_VALUE"""),"")</f>
        <v/>
      </c>
      <c r="AC54" s="55"/>
      <c r="AD54" s="55"/>
      <c r="AE54" s="55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ht="14.25" customHeight="1" outlineLevel="1">
      <c r="A55" s="74"/>
      <c r="B55" s="97"/>
      <c r="C55" s="105"/>
      <c r="D55" s="59"/>
      <c r="E55" s="93"/>
      <c r="F55" s="121"/>
      <c r="G55" s="99"/>
      <c r="H55" s="100"/>
      <c r="I55" s="125"/>
      <c r="J55" s="100"/>
      <c r="K55" s="92"/>
      <c r="L55" s="102"/>
      <c r="M55" s="106"/>
      <c r="N55" s="107"/>
      <c r="O55" s="69"/>
      <c r="P55" s="70"/>
      <c r="Q55" s="71"/>
      <c r="R55" s="74"/>
      <c r="S55" s="122"/>
      <c r="T55" s="122"/>
      <c r="U55" s="122"/>
      <c r="V55" s="74"/>
      <c r="W55" s="74" t="b">
        <v>0</v>
      </c>
      <c r="X55" s="74" t="b">
        <v>0</v>
      </c>
      <c r="Y55" s="74" t="b">
        <v>0</v>
      </c>
      <c r="Z55" s="75" t="str">
        <f>IFERROR(__xludf.DUMMYFUNCTION("""COMPUTED_VALUE"""),"")</f>
        <v/>
      </c>
      <c r="AA55" s="75" t="str">
        <f>IFERROR(__xludf.DUMMYFUNCTION("""COMPUTED_VALUE"""),"")</f>
        <v/>
      </c>
      <c r="AB55" s="76" t="str">
        <f>IFERROR(__xludf.DUMMYFUNCTION("""COMPUTED_VALUE"""),"")</f>
        <v/>
      </c>
      <c r="AC55" s="55"/>
      <c r="AD55" s="55"/>
      <c r="AE55" s="55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ht="14.25" customHeight="1" outlineLevel="1">
      <c r="A56" s="74"/>
      <c r="B56" s="97"/>
      <c r="C56" s="105"/>
      <c r="D56" s="59"/>
      <c r="E56" s="93"/>
      <c r="F56" s="121"/>
      <c r="G56" s="99"/>
      <c r="H56" s="100"/>
      <c r="I56" s="125"/>
      <c r="J56" s="100"/>
      <c r="K56" s="92"/>
      <c r="L56" s="102"/>
      <c r="M56" s="106"/>
      <c r="N56" s="107"/>
      <c r="O56" s="69"/>
      <c r="P56" s="70"/>
      <c r="Q56" s="71"/>
      <c r="R56" s="74"/>
      <c r="S56" s="122"/>
      <c r="T56" s="122"/>
      <c r="U56" s="122"/>
      <c r="V56" s="74"/>
      <c r="W56" s="74" t="b">
        <v>0</v>
      </c>
      <c r="X56" s="74" t="b">
        <v>0</v>
      </c>
      <c r="Y56" s="74" t="b">
        <v>0</v>
      </c>
      <c r="Z56" s="75" t="str">
        <f>IFERROR(__xludf.DUMMYFUNCTION("""COMPUTED_VALUE"""),"")</f>
        <v/>
      </c>
      <c r="AA56" s="75" t="str">
        <f>IFERROR(__xludf.DUMMYFUNCTION("""COMPUTED_VALUE"""),"")</f>
        <v/>
      </c>
      <c r="AB56" s="76" t="str">
        <f>IFERROR(__xludf.DUMMYFUNCTION("""COMPUTED_VALUE"""),"")</f>
        <v/>
      </c>
      <c r="AC56" s="55"/>
      <c r="AD56" s="55"/>
      <c r="AE56" s="55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ht="14.25" customHeight="1" outlineLevel="1">
      <c r="A57" s="74"/>
      <c r="B57" s="97"/>
      <c r="C57" s="105"/>
      <c r="D57" s="59"/>
      <c r="E57" s="93"/>
      <c r="F57" s="121"/>
      <c r="G57" s="110"/>
      <c r="H57" s="100"/>
      <c r="I57" s="125"/>
      <c r="J57" s="100"/>
      <c r="K57" s="92"/>
      <c r="L57" s="102"/>
      <c r="M57" s="106"/>
      <c r="N57" s="107"/>
      <c r="O57" s="69"/>
      <c r="P57" s="70"/>
      <c r="Q57" s="71"/>
      <c r="R57" s="74"/>
      <c r="S57" s="122"/>
      <c r="T57" s="122"/>
      <c r="U57" s="122"/>
      <c r="V57" s="74"/>
      <c r="W57" s="74" t="b">
        <v>0</v>
      </c>
      <c r="X57" s="74" t="b">
        <v>0</v>
      </c>
      <c r="Y57" s="74" t="b">
        <v>0</v>
      </c>
      <c r="Z57" s="75" t="str">
        <f>IFERROR(__xludf.DUMMYFUNCTION("""COMPUTED_VALUE"""),"")</f>
        <v/>
      </c>
      <c r="AA57" s="75" t="str">
        <f>IFERROR(__xludf.DUMMYFUNCTION("""COMPUTED_VALUE"""),"")</f>
        <v/>
      </c>
      <c r="AB57" s="76" t="str">
        <f>IFERROR(__xludf.DUMMYFUNCTION("""COMPUTED_VALUE"""),"")</f>
        <v/>
      </c>
      <c r="AC57" s="55"/>
      <c r="AD57" s="55"/>
      <c r="AE57" s="55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ht="14.25" customHeight="1" outlineLevel="1">
      <c r="A58" s="74"/>
      <c r="B58" s="97"/>
      <c r="C58" s="105"/>
      <c r="D58" s="59"/>
      <c r="E58" s="93"/>
      <c r="F58" s="121"/>
      <c r="G58" s="99"/>
      <c r="H58" s="100"/>
      <c r="I58" s="125"/>
      <c r="J58" s="100"/>
      <c r="K58" s="92"/>
      <c r="L58" s="102"/>
      <c r="M58" s="106"/>
      <c r="N58" s="107"/>
      <c r="O58" s="69"/>
      <c r="P58" s="70"/>
      <c r="Q58" s="71"/>
      <c r="R58" s="74"/>
      <c r="S58" s="122"/>
      <c r="T58" s="122"/>
      <c r="U58" s="122"/>
      <c r="V58" s="74"/>
      <c r="W58" s="74" t="b">
        <v>0</v>
      </c>
      <c r="X58" s="74" t="b">
        <v>0</v>
      </c>
      <c r="Y58" s="74" t="b">
        <v>0</v>
      </c>
      <c r="Z58" s="75" t="str">
        <f>IFERROR(__xludf.DUMMYFUNCTION("""COMPUTED_VALUE"""),"")</f>
        <v/>
      </c>
      <c r="AA58" s="75" t="str">
        <f>IFERROR(__xludf.DUMMYFUNCTION("""COMPUTED_VALUE"""),"")</f>
        <v/>
      </c>
      <c r="AB58" s="76" t="str">
        <f>IFERROR(__xludf.DUMMYFUNCTION("""COMPUTED_VALUE"""),"")</f>
        <v/>
      </c>
      <c r="AC58" s="55"/>
      <c r="AD58" s="55"/>
      <c r="AE58" s="55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ht="14.25" customHeight="1" outlineLevel="1">
      <c r="A59" s="74"/>
      <c r="B59" s="97"/>
      <c r="C59" s="98"/>
      <c r="D59" s="117"/>
      <c r="E59" s="93"/>
      <c r="F59" s="121"/>
      <c r="G59" s="99"/>
      <c r="H59" s="100"/>
      <c r="I59" s="84"/>
      <c r="J59" s="101"/>
      <c r="K59" s="88"/>
      <c r="L59" s="102"/>
      <c r="M59" s="103"/>
      <c r="N59" s="104"/>
      <c r="O59" s="69"/>
      <c r="P59" s="70"/>
      <c r="Q59" s="71"/>
      <c r="R59" s="74"/>
      <c r="S59" s="122"/>
      <c r="T59" s="122"/>
      <c r="U59" s="122"/>
      <c r="V59" s="74"/>
      <c r="W59" s="74" t="b">
        <v>0</v>
      </c>
      <c r="X59" s="74" t="b">
        <v>0</v>
      </c>
      <c r="Y59" s="74" t="b">
        <v>0</v>
      </c>
      <c r="Z59" s="75" t="str">
        <f>IFERROR(__xludf.DUMMYFUNCTION("""COMPUTED_VALUE"""),"")</f>
        <v/>
      </c>
      <c r="AA59" s="75" t="str">
        <f>IFERROR(__xludf.DUMMYFUNCTION("""COMPUTED_VALUE"""),"")</f>
        <v/>
      </c>
      <c r="AB59" s="76" t="str">
        <f>IFERROR(__xludf.DUMMYFUNCTION("""COMPUTED_VALUE"""),"")</f>
        <v/>
      </c>
      <c r="AC59" s="55"/>
      <c r="AD59" s="55"/>
      <c r="AE59" s="55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ht="14.25" customHeight="1" outlineLevel="1">
      <c r="A60" s="74"/>
      <c r="B60" s="97"/>
      <c r="C60" s="105"/>
      <c r="D60" s="117"/>
      <c r="E60" s="93"/>
      <c r="F60" s="121"/>
      <c r="G60" s="99"/>
      <c r="H60" s="100"/>
      <c r="I60" s="64"/>
      <c r="J60" s="101"/>
      <c r="K60" s="88"/>
      <c r="L60" s="102"/>
      <c r="M60" s="88"/>
      <c r="N60" s="107"/>
      <c r="O60" s="69"/>
      <c r="P60" s="83"/>
      <c r="Q60" s="71"/>
      <c r="R60" s="74"/>
      <c r="S60" s="122"/>
      <c r="T60" s="122"/>
      <c r="U60" s="122"/>
      <c r="V60" s="74"/>
      <c r="W60" s="126"/>
      <c r="X60" s="126"/>
      <c r="Y60" s="126"/>
      <c r="Z60" s="75" t="str">
        <f>IFERROR(__xludf.DUMMYFUNCTION("""COMPUTED_VALUE"""),"")</f>
        <v/>
      </c>
      <c r="AA60" s="75" t="str">
        <f>IFERROR(__xludf.DUMMYFUNCTION("""COMPUTED_VALUE"""),"")</f>
        <v/>
      </c>
      <c r="AB60" s="76" t="str">
        <f>IFERROR(__xludf.DUMMYFUNCTION("""COMPUTED_VALUE"""),"")</f>
        <v/>
      </c>
      <c r="AC60" s="55"/>
      <c r="AD60" s="55"/>
      <c r="AE60" s="55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ht="14.25" customHeight="1" outlineLevel="1">
      <c r="A61" s="74"/>
      <c r="B61" s="97"/>
      <c r="C61" s="105"/>
      <c r="D61" s="117"/>
      <c r="E61" s="93"/>
      <c r="F61" s="121"/>
      <c r="G61" s="99"/>
      <c r="H61" s="100"/>
      <c r="I61" s="64"/>
      <c r="J61" s="101"/>
      <c r="K61" s="88"/>
      <c r="L61" s="102"/>
      <c r="M61" s="88"/>
      <c r="N61" s="107"/>
      <c r="O61" s="127"/>
      <c r="P61" s="83"/>
      <c r="Q61" s="71"/>
      <c r="R61" s="74"/>
      <c r="S61" s="122"/>
      <c r="T61" s="122"/>
      <c r="U61" s="122"/>
      <c r="V61" s="74"/>
      <c r="W61" s="126"/>
      <c r="X61" s="126"/>
      <c r="Y61" s="126"/>
      <c r="Z61" s="75" t="str">
        <f>IFERROR(__xludf.DUMMYFUNCTION("""COMPUTED_VALUE"""),"")</f>
        <v/>
      </c>
      <c r="AA61" s="75" t="str">
        <f>IFERROR(__xludf.DUMMYFUNCTION("""COMPUTED_VALUE"""),"")</f>
        <v/>
      </c>
      <c r="AB61" s="76" t="str">
        <f>IFERROR(__xludf.DUMMYFUNCTION("""COMPUTED_VALUE"""),"")</f>
        <v/>
      </c>
      <c r="AC61" s="55"/>
      <c r="AD61" s="55"/>
      <c r="AE61" s="5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ht="14.25" customHeight="1" outlineLevel="1">
      <c r="A62" s="74"/>
      <c r="B62" s="97"/>
      <c r="C62" s="105"/>
      <c r="D62" s="117"/>
      <c r="E62" s="93"/>
      <c r="F62" s="121"/>
      <c r="G62" s="99"/>
      <c r="H62" s="100"/>
      <c r="I62" s="64"/>
      <c r="J62" s="101"/>
      <c r="K62" s="88"/>
      <c r="L62" s="102"/>
      <c r="M62" s="88"/>
      <c r="N62" s="107"/>
      <c r="O62" s="127"/>
      <c r="P62" s="83"/>
      <c r="Q62" s="71"/>
      <c r="R62" s="74"/>
      <c r="S62" s="122"/>
      <c r="T62" s="122"/>
      <c r="U62" s="122"/>
      <c r="V62" s="74"/>
      <c r="W62" s="126"/>
      <c r="X62" s="126"/>
      <c r="Y62" s="126"/>
      <c r="Z62" s="75" t="str">
        <f>IFERROR(__xludf.DUMMYFUNCTION("""COMPUTED_VALUE"""),"")</f>
        <v/>
      </c>
      <c r="AA62" s="75" t="str">
        <f>IFERROR(__xludf.DUMMYFUNCTION("""COMPUTED_VALUE"""),"")</f>
        <v/>
      </c>
      <c r="AB62" s="76" t="str">
        <f>IFERROR(__xludf.DUMMYFUNCTION("""COMPUTED_VALUE"""),"")</f>
        <v/>
      </c>
      <c r="AC62" s="55"/>
      <c r="AD62" s="55"/>
      <c r="AE62" s="55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ht="14.25" customHeight="1" outlineLevel="1">
      <c r="A63" s="74"/>
      <c r="B63" s="97"/>
      <c r="C63" s="105"/>
      <c r="D63" s="117"/>
      <c r="E63" s="93"/>
      <c r="F63" s="121"/>
      <c r="G63" s="99"/>
      <c r="H63" s="100"/>
      <c r="I63" s="64"/>
      <c r="J63" s="101"/>
      <c r="K63" s="88"/>
      <c r="L63" s="102"/>
      <c r="M63" s="88"/>
      <c r="N63" s="107"/>
      <c r="O63" s="127"/>
      <c r="P63" s="83"/>
      <c r="Q63" s="71"/>
      <c r="R63" s="74"/>
      <c r="S63" s="122"/>
      <c r="T63" s="122"/>
      <c r="U63" s="122"/>
      <c r="V63" s="74"/>
      <c r="W63" s="126"/>
      <c r="X63" s="126"/>
      <c r="Y63" s="126"/>
      <c r="Z63" s="75" t="str">
        <f>IFERROR(__xludf.DUMMYFUNCTION("""COMPUTED_VALUE"""),"")</f>
        <v/>
      </c>
      <c r="AA63" s="75" t="str">
        <f>IFERROR(__xludf.DUMMYFUNCTION("""COMPUTED_VALUE"""),"")</f>
        <v/>
      </c>
      <c r="AB63" s="76" t="str">
        <f>IFERROR(__xludf.DUMMYFUNCTION("""COMPUTED_VALUE"""),"")</f>
        <v/>
      </c>
      <c r="AC63" s="55"/>
      <c r="AD63" s="55"/>
      <c r="AE63" s="55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ht="14.25" customHeight="1" outlineLevel="1">
      <c r="A64" s="74"/>
      <c r="B64" s="97"/>
      <c r="C64" s="105"/>
      <c r="D64" s="117"/>
      <c r="E64" s="93"/>
      <c r="F64" s="121"/>
      <c r="G64" s="99"/>
      <c r="H64" s="100"/>
      <c r="I64" s="64"/>
      <c r="J64" s="101"/>
      <c r="K64" s="88"/>
      <c r="L64" s="102"/>
      <c r="M64" s="88"/>
      <c r="N64" s="107"/>
      <c r="O64" s="127"/>
      <c r="P64" s="83"/>
      <c r="Q64" s="71"/>
      <c r="R64" s="74"/>
      <c r="S64" s="122"/>
      <c r="T64" s="122"/>
      <c r="U64" s="122"/>
      <c r="V64" s="74"/>
      <c r="W64" s="126"/>
      <c r="X64" s="126"/>
      <c r="Y64" s="126"/>
      <c r="Z64" s="75" t="str">
        <f>IFERROR(__xludf.DUMMYFUNCTION("""COMPUTED_VALUE"""),"")</f>
        <v/>
      </c>
      <c r="AA64" s="75" t="str">
        <f>IFERROR(__xludf.DUMMYFUNCTION("""COMPUTED_VALUE"""),"")</f>
        <v/>
      </c>
      <c r="AB64" s="76" t="str">
        <f>IFERROR(__xludf.DUMMYFUNCTION("""COMPUTED_VALUE"""),"")</f>
        <v/>
      </c>
      <c r="AC64" s="55"/>
      <c r="AD64" s="55"/>
      <c r="AE64" s="55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ht="14.25" customHeight="1" outlineLevel="1">
      <c r="A65" s="74"/>
      <c r="B65" s="97"/>
      <c r="C65" s="105"/>
      <c r="D65" s="117"/>
      <c r="E65" s="93"/>
      <c r="F65" s="121"/>
      <c r="G65" s="99"/>
      <c r="H65" s="100"/>
      <c r="I65" s="64"/>
      <c r="J65" s="101"/>
      <c r="K65" s="88"/>
      <c r="L65" s="102"/>
      <c r="M65" s="88"/>
      <c r="N65" s="107"/>
      <c r="O65" s="127"/>
      <c r="P65" s="83"/>
      <c r="Q65" s="71"/>
      <c r="R65" s="74"/>
      <c r="S65" s="122"/>
      <c r="T65" s="122"/>
      <c r="U65" s="122"/>
      <c r="V65" s="74"/>
      <c r="W65" s="126"/>
      <c r="X65" s="126"/>
      <c r="Y65" s="126"/>
      <c r="Z65" s="75" t="str">
        <f>IFERROR(__xludf.DUMMYFUNCTION("""COMPUTED_VALUE"""),"")</f>
        <v/>
      </c>
      <c r="AA65" s="75" t="str">
        <f>IFERROR(__xludf.DUMMYFUNCTION("""COMPUTED_VALUE"""),"")</f>
        <v/>
      </c>
      <c r="AB65" s="76" t="str">
        <f>IFERROR(__xludf.DUMMYFUNCTION("""COMPUTED_VALUE"""),"")</f>
        <v/>
      </c>
      <c r="AC65" s="55"/>
      <c r="AD65" s="55"/>
      <c r="AE65" s="55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ht="14.25" customHeight="1" outlineLevel="1">
      <c r="A66" s="74"/>
      <c r="B66" s="97"/>
      <c r="C66" s="105"/>
      <c r="D66" s="117"/>
      <c r="E66" s="93"/>
      <c r="F66" s="121"/>
      <c r="G66" s="99"/>
      <c r="H66" s="100"/>
      <c r="I66" s="64"/>
      <c r="J66" s="101"/>
      <c r="K66" s="88"/>
      <c r="L66" s="102"/>
      <c r="M66" s="88"/>
      <c r="N66" s="107"/>
      <c r="O66" s="127"/>
      <c r="P66" s="83"/>
      <c r="Q66" s="71"/>
      <c r="R66" s="74"/>
      <c r="S66" s="122"/>
      <c r="T66" s="122"/>
      <c r="U66" s="122"/>
      <c r="V66" s="74"/>
      <c r="W66" s="126"/>
      <c r="X66" s="126"/>
      <c r="Y66" s="126"/>
      <c r="Z66" s="75" t="str">
        <f>IFERROR(__xludf.DUMMYFUNCTION("""COMPUTED_VALUE"""),"")</f>
        <v/>
      </c>
      <c r="AA66" s="75" t="str">
        <f>IFERROR(__xludf.DUMMYFUNCTION("""COMPUTED_VALUE"""),"")</f>
        <v/>
      </c>
      <c r="AB66" s="76" t="str">
        <f>IFERROR(__xludf.DUMMYFUNCTION("""COMPUTED_VALUE"""),"")</f>
        <v/>
      </c>
      <c r="AC66" s="55"/>
      <c r="AD66" s="55"/>
      <c r="AE66" s="55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ht="14.25" customHeight="1" outlineLevel="1">
      <c r="A67" s="74"/>
      <c r="B67" s="97"/>
      <c r="C67" s="105"/>
      <c r="D67" s="117"/>
      <c r="E67" s="93"/>
      <c r="F67" s="121"/>
      <c r="G67" s="99"/>
      <c r="H67" s="100"/>
      <c r="I67" s="64"/>
      <c r="J67" s="101"/>
      <c r="K67" s="88"/>
      <c r="L67" s="102"/>
      <c r="M67" s="88"/>
      <c r="N67" s="107"/>
      <c r="O67" s="127"/>
      <c r="P67" s="83"/>
      <c r="Q67" s="71"/>
      <c r="R67" s="74"/>
      <c r="S67" s="122"/>
      <c r="T67" s="122"/>
      <c r="U67" s="122"/>
      <c r="V67" s="74"/>
      <c r="W67" s="126"/>
      <c r="X67" s="126"/>
      <c r="Y67" s="126"/>
      <c r="Z67" s="75" t="str">
        <f>IFERROR(__xludf.DUMMYFUNCTION("""COMPUTED_VALUE"""),"")</f>
        <v/>
      </c>
      <c r="AA67" s="75" t="str">
        <f>IFERROR(__xludf.DUMMYFUNCTION("""COMPUTED_VALUE"""),"")</f>
        <v/>
      </c>
      <c r="AB67" s="76" t="str">
        <f>IFERROR(__xludf.DUMMYFUNCTION("""COMPUTED_VALUE"""),"")</f>
        <v/>
      </c>
      <c r="AC67" s="55"/>
      <c r="AD67" s="55"/>
      <c r="AE67" s="5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ht="14.25" customHeight="1" outlineLevel="1">
      <c r="A68" s="74"/>
      <c r="B68" s="97"/>
      <c r="C68" s="105"/>
      <c r="D68" s="117"/>
      <c r="E68" s="93"/>
      <c r="F68" s="121"/>
      <c r="G68" s="99"/>
      <c r="H68" s="100"/>
      <c r="I68" s="64"/>
      <c r="J68" s="101"/>
      <c r="K68" s="88"/>
      <c r="L68" s="102"/>
      <c r="M68" s="88"/>
      <c r="N68" s="107"/>
      <c r="O68" s="127"/>
      <c r="P68" s="83"/>
      <c r="Q68" s="71"/>
      <c r="R68" s="74"/>
      <c r="S68" s="122"/>
      <c r="T68" s="122"/>
      <c r="U68" s="122"/>
      <c r="V68" s="74"/>
      <c r="W68" s="126"/>
      <c r="X68" s="126"/>
      <c r="Y68" s="126"/>
      <c r="Z68" s="75" t="str">
        <f>IFERROR(__xludf.DUMMYFUNCTION("""COMPUTED_VALUE"""),"")</f>
        <v/>
      </c>
      <c r="AA68" s="75" t="str">
        <f>IFERROR(__xludf.DUMMYFUNCTION("""COMPUTED_VALUE"""),"")</f>
        <v/>
      </c>
      <c r="AB68" s="76" t="str">
        <f>IFERROR(__xludf.DUMMYFUNCTION("""COMPUTED_VALUE"""),"")</f>
        <v/>
      </c>
      <c r="AC68" s="55"/>
      <c r="AD68" s="55"/>
      <c r="AE68" s="55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ht="14.25" customHeight="1" outlineLevel="1">
      <c r="A69" s="74"/>
      <c r="B69" s="97"/>
      <c r="C69" s="105"/>
      <c r="D69" s="117"/>
      <c r="E69" s="93"/>
      <c r="F69" s="121"/>
      <c r="G69" s="99"/>
      <c r="H69" s="100"/>
      <c r="I69" s="64"/>
      <c r="J69" s="101"/>
      <c r="K69" s="88"/>
      <c r="L69" s="102"/>
      <c r="M69" s="88"/>
      <c r="N69" s="107"/>
      <c r="O69" s="127"/>
      <c r="P69" s="83"/>
      <c r="Q69" s="71"/>
      <c r="R69" s="74"/>
      <c r="S69" s="122"/>
      <c r="T69" s="122"/>
      <c r="U69" s="122"/>
      <c r="V69" s="74"/>
      <c r="W69" s="126"/>
      <c r="X69" s="126"/>
      <c r="Y69" s="126"/>
      <c r="Z69" s="75" t="str">
        <f>IFERROR(__xludf.DUMMYFUNCTION("""COMPUTED_VALUE"""),"")</f>
        <v/>
      </c>
      <c r="AA69" s="75" t="str">
        <f>IFERROR(__xludf.DUMMYFUNCTION("""COMPUTED_VALUE"""),"")</f>
        <v/>
      </c>
      <c r="AB69" s="76" t="str">
        <f>IFERROR(__xludf.DUMMYFUNCTION("""COMPUTED_VALUE"""),"")</f>
        <v/>
      </c>
      <c r="AC69" s="55"/>
      <c r="AD69" s="55"/>
      <c r="AE69" s="55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ht="14.25" customHeight="1" outlineLevel="1">
      <c r="A70" s="74"/>
      <c r="B70" s="97"/>
      <c r="C70" s="105"/>
      <c r="D70" s="117"/>
      <c r="E70" s="93"/>
      <c r="F70" s="121"/>
      <c r="G70" s="99"/>
      <c r="H70" s="100"/>
      <c r="I70" s="64"/>
      <c r="J70" s="101"/>
      <c r="K70" s="88"/>
      <c r="L70" s="102"/>
      <c r="M70" s="88"/>
      <c r="N70" s="107"/>
      <c r="O70" s="127"/>
      <c r="P70" s="83"/>
      <c r="Q70" s="71"/>
      <c r="R70" s="74"/>
      <c r="S70" s="122"/>
      <c r="T70" s="122"/>
      <c r="U70" s="122"/>
      <c r="V70" s="74"/>
      <c r="W70" s="126"/>
      <c r="X70" s="126"/>
      <c r="Y70" s="126"/>
      <c r="Z70" s="75" t="str">
        <f>IFERROR(__xludf.DUMMYFUNCTION("""COMPUTED_VALUE"""),"")</f>
        <v/>
      </c>
      <c r="AA70" s="75" t="str">
        <f>IFERROR(__xludf.DUMMYFUNCTION("""COMPUTED_VALUE"""),"")</f>
        <v/>
      </c>
      <c r="AB70" s="76" t="str">
        <f>IFERROR(__xludf.DUMMYFUNCTION("""COMPUTED_VALUE"""),"")</f>
        <v/>
      </c>
      <c r="AC70" s="55"/>
      <c r="AD70" s="55"/>
      <c r="AE70" s="55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ht="14.25" customHeight="1" outlineLevel="1">
      <c r="A71" s="74"/>
      <c r="B71" s="97"/>
      <c r="C71" s="105"/>
      <c r="D71" s="117"/>
      <c r="E71" s="93"/>
      <c r="F71" s="121"/>
      <c r="G71" s="99"/>
      <c r="H71" s="100"/>
      <c r="I71" s="64"/>
      <c r="J71" s="101"/>
      <c r="K71" s="88"/>
      <c r="L71" s="102"/>
      <c r="M71" s="88"/>
      <c r="N71" s="107"/>
      <c r="O71" s="127"/>
      <c r="P71" s="83"/>
      <c r="Q71" s="71"/>
      <c r="R71" s="74"/>
      <c r="S71" s="122"/>
      <c r="T71" s="122"/>
      <c r="U71" s="122"/>
      <c r="V71" s="74"/>
      <c r="W71" s="126"/>
      <c r="X71" s="126"/>
      <c r="Y71" s="126"/>
      <c r="Z71" s="75" t="str">
        <f>IFERROR(__xludf.DUMMYFUNCTION("""COMPUTED_VALUE"""),"")</f>
        <v/>
      </c>
      <c r="AA71" s="75" t="str">
        <f>IFERROR(__xludf.DUMMYFUNCTION("""COMPUTED_VALUE"""),"")</f>
        <v/>
      </c>
      <c r="AB71" s="76" t="str">
        <f>IFERROR(__xludf.DUMMYFUNCTION("""COMPUTED_VALUE"""),"")</f>
        <v/>
      </c>
      <c r="AC71" s="55"/>
      <c r="AD71" s="55"/>
      <c r="AE71" s="55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ht="14.25" customHeight="1" outlineLevel="1">
      <c r="A72" s="74"/>
      <c r="B72" s="97"/>
      <c r="C72" s="105"/>
      <c r="D72" s="117"/>
      <c r="E72" s="93"/>
      <c r="F72" s="121"/>
      <c r="G72" s="99"/>
      <c r="H72" s="100"/>
      <c r="I72" s="64"/>
      <c r="J72" s="101"/>
      <c r="K72" s="88"/>
      <c r="L72" s="102"/>
      <c r="M72" s="88"/>
      <c r="N72" s="107"/>
      <c r="O72" s="127"/>
      <c r="P72" s="83"/>
      <c r="Q72" s="71"/>
      <c r="R72" s="74"/>
      <c r="S72" s="122"/>
      <c r="T72" s="122"/>
      <c r="U72" s="122"/>
      <c r="V72" s="74"/>
      <c r="W72" s="126"/>
      <c r="X72" s="126"/>
      <c r="Y72" s="126"/>
      <c r="Z72" s="75" t="str">
        <f>IFERROR(__xludf.DUMMYFUNCTION("""COMPUTED_VALUE"""),"")</f>
        <v/>
      </c>
      <c r="AA72" s="75" t="str">
        <f>IFERROR(__xludf.DUMMYFUNCTION("""COMPUTED_VALUE"""),"")</f>
        <v/>
      </c>
      <c r="AB72" s="76" t="str">
        <f>IFERROR(__xludf.DUMMYFUNCTION("""COMPUTED_VALUE"""),"")</f>
        <v/>
      </c>
      <c r="AC72" s="55"/>
      <c r="AD72" s="55"/>
      <c r="AE72" s="55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ht="14.25" customHeight="1" outlineLevel="1">
      <c r="A73" s="74"/>
      <c r="B73" s="97"/>
      <c r="C73" s="105"/>
      <c r="D73" s="117"/>
      <c r="E73" s="93"/>
      <c r="F73" s="121"/>
      <c r="G73" s="99"/>
      <c r="H73" s="100"/>
      <c r="I73" s="64"/>
      <c r="J73" s="101"/>
      <c r="K73" s="88"/>
      <c r="L73" s="102"/>
      <c r="M73" s="88"/>
      <c r="N73" s="107"/>
      <c r="O73" s="127"/>
      <c r="P73" s="83"/>
      <c r="Q73" s="71"/>
      <c r="R73" s="74"/>
      <c r="S73" s="122"/>
      <c r="T73" s="122"/>
      <c r="U73" s="122"/>
      <c r="V73" s="74"/>
      <c r="W73" s="126"/>
      <c r="X73" s="126"/>
      <c r="Y73" s="126"/>
      <c r="Z73" s="75" t="str">
        <f>IFERROR(__xludf.DUMMYFUNCTION("""COMPUTED_VALUE"""),"")</f>
        <v/>
      </c>
      <c r="AA73" s="75" t="str">
        <f>IFERROR(__xludf.DUMMYFUNCTION("""COMPUTED_VALUE"""),"")</f>
        <v/>
      </c>
      <c r="AB73" s="76" t="str">
        <f>IFERROR(__xludf.DUMMYFUNCTION("""COMPUTED_VALUE"""),"")</f>
        <v/>
      </c>
      <c r="AC73" s="55"/>
      <c r="AD73" s="55"/>
      <c r="AE73" s="55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ht="14.25" customHeight="1" outlineLevel="1">
      <c r="A74" s="74"/>
      <c r="B74" s="97"/>
      <c r="C74" s="105"/>
      <c r="D74" s="117"/>
      <c r="E74" s="93"/>
      <c r="F74" s="121"/>
      <c r="G74" s="99"/>
      <c r="H74" s="100"/>
      <c r="I74" s="64"/>
      <c r="J74" s="101"/>
      <c r="K74" s="88"/>
      <c r="L74" s="102"/>
      <c r="M74" s="88"/>
      <c r="N74" s="107"/>
      <c r="O74" s="127"/>
      <c r="P74" s="83"/>
      <c r="Q74" s="71"/>
      <c r="R74" s="74"/>
      <c r="S74" s="122"/>
      <c r="T74" s="122"/>
      <c r="U74" s="122"/>
      <c r="V74" s="74"/>
      <c r="W74" s="126"/>
      <c r="X74" s="126"/>
      <c r="Y74" s="126"/>
      <c r="Z74" s="75" t="str">
        <f>IFERROR(__xludf.DUMMYFUNCTION("""COMPUTED_VALUE"""),"")</f>
        <v/>
      </c>
      <c r="AA74" s="75" t="str">
        <f>IFERROR(__xludf.DUMMYFUNCTION("""COMPUTED_VALUE"""),"")</f>
        <v/>
      </c>
      <c r="AB74" s="76" t="str">
        <f>IFERROR(__xludf.DUMMYFUNCTION("""COMPUTED_VALUE"""),"")</f>
        <v/>
      </c>
      <c r="AC74" s="55"/>
      <c r="AD74" s="55"/>
      <c r="AE74" s="55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ht="14.25" customHeight="1" outlineLevel="1">
      <c r="A75" s="74"/>
      <c r="B75" s="97"/>
      <c r="C75" s="105"/>
      <c r="D75" s="117"/>
      <c r="E75" s="93"/>
      <c r="F75" s="121"/>
      <c r="G75" s="99"/>
      <c r="H75" s="100"/>
      <c r="I75" s="64"/>
      <c r="J75" s="101"/>
      <c r="K75" s="88"/>
      <c r="L75" s="102"/>
      <c r="M75" s="88"/>
      <c r="N75" s="107"/>
      <c r="O75" s="127"/>
      <c r="P75" s="83"/>
      <c r="Q75" s="71"/>
      <c r="R75" s="74"/>
      <c r="S75" s="122"/>
      <c r="T75" s="122"/>
      <c r="U75" s="122"/>
      <c r="V75" s="74"/>
      <c r="W75" s="126"/>
      <c r="X75" s="126"/>
      <c r="Y75" s="126"/>
      <c r="Z75" s="75" t="str">
        <f>IFERROR(__xludf.DUMMYFUNCTION("""COMPUTED_VALUE"""),"")</f>
        <v/>
      </c>
      <c r="AA75" s="75" t="str">
        <f>IFERROR(__xludf.DUMMYFUNCTION("""COMPUTED_VALUE"""),"")</f>
        <v/>
      </c>
      <c r="AB75" s="76" t="str">
        <f>IFERROR(__xludf.DUMMYFUNCTION("""COMPUTED_VALUE"""),"")</f>
        <v/>
      </c>
      <c r="AC75" s="55"/>
      <c r="AD75" s="55"/>
      <c r="AE75" s="55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ht="14.25" customHeight="1" outlineLevel="1">
      <c r="A76" s="74"/>
      <c r="B76" s="97"/>
      <c r="C76" s="105"/>
      <c r="D76" s="117"/>
      <c r="E76" s="93"/>
      <c r="F76" s="121"/>
      <c r="G76" s="99"/>
      <c r="H76" s="100"/>
      <c r="I76" s="64"/>
      <c r="J76" s="101"/>
      <c r="K76" s="88"/>
      <c r="L76" s="102"/>
      <c r="M76" s="88"/>
      <c r="N76" s="107"/>
      <c r="O76" s="127"/>
      <c r="P76" s="83"/>
      <c r="Q76" s="71"/>
      <c r="R76" s="74"/>
      <c r="S76" s="122"/>
      <c r="T76" s="122"/>
      <c r="U76" s="122"/>
      <c r="V76" s="74"/>
      <c r="W76" s="126"/>
      <c r="X76" s="126"/>
      <c r="Y76" s="126"/>
      <c r="Z76" s="75" t="str">
        <f>IFERROR(__xludf.DUMMYFUNCTION("""COMPUTED_VALUE"""),"")</f>
        <v/>
      </c>
      <c r="AA76" s="75" t="str">
        <f>IFERROR(__xludf.DUMMYFUNCTION("""COMPUTED_VALUE"""),"")</f>
        <v/>
      </c>
      <c r="AB76" s="76" t="str">
        <f>IFERROR(__xludf.DUMMYFUNCTION("""COMPUTED_VALUE"""),"")</f>
        <v/>
      </c>
      <c r="AC76" s="55"/>
      <c r="AD76" s="55"/>
      <c r="AE76" s="55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ht="14.25" customHeight="1" outlineLevel="1">
      <c r="A77" s="74"/>
      <c r="B77" s="97"/>
      <c r="C77" s="105"/>
      <c r="D77" s="117"/>
      <c r="E77" s="93"/>
      <c r="F77" s="121"/>
      <c r="G77" s="99"/>
      <c r="H77" s="100"/>
      <c r="I77" s="64"/>
      <c r="J77" s="101"/>
      <c r="K77" s="88"/>
      <c r="L77" s="102"/>
      <c r="M77" s="88"/>
      <c r="N77" s="107"/>
      <c r="O77" s="127"/>
      <c r="P77" s="83"/>
      <c r="Q77" s="71"/>
      <c r="R77" s="74"/>
      <c r="S77" s="122"/>
      <c r="T77" s="122"/>
      <c r="U77" s="122"/>
      <c r="V77" s="74"/>
      <c r="W77" s="126"/>
      <c r="X77" s="126"/>
      <c r="Y77" s="126"/>
      <c r="Z77" s="75" t="str">
        <f>IFERROR(__xludf.DUMMYFUNCTION("""COMPUTED_VALUE"""),"")</f>
        <v/>
      </c>
      <c r="AA77" s="75" t="str">
        <f>IFERROR(__xludf.DUMMYFUNCTION("""COMPUTED_VALUE"""),"")</f>
        <v/>
      </c>
      <c r="AB77" s="76" t="str">
        <f>IFERROR(__xludf.DUMMYFUNCTION("""COMPUTED_VALUE"""),"")</f>
        <v/>
      </c>
      <c r="AC77" s="55"/>
      <c r="AD77" s="55"/>
      <c r="AE77" s="55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ht="14.25" customHeight="1" outlineLevel="1">
      <c r="A78" s="74"/>
      <c r="B78" s="97"/>
      <c r="C78" s="105"/>
      <c r="D78" s="117"/>
      <c r="E78" s="93"/>
      <c r="F78" s="121"/>
      <c r="G78" s="99"/>
      <c r="H78" s="100"/>
      <c r="I78" s="64"/>
      <c r="J78" s="101"/>
      <c r="K78" s="88"/>
      <c r="L78" s="102"/>
      <c r="M78" s="88"/>
      <c r="N78" s="107"/>
      <c r="O78" s="127"/>
      <c r="P78" s="83"/>
      <c r="Q78" s="71"/>
      <c r="R78" s="74"/>
      <c r="S78" s="122"/>
      <c r="T78" s="122"/>
      <c r="U78" s="122"/>
      <c r="V78" s="74"/>
      <c r="W78" s="126"/>
      <c r="X78" s="126"/>
      <c r="Y78" s="126"/>
      <c r="Z78" s="75" t="str">
        <f>IFERROR(__xludf.DUMMYFUNCTION("""COMPUTED_VALUE"""),"")</f>
        <v/>
      </c>
      <c r="AA78" s="75" t="str">
        <f>IFERROR(__xludf.DUMMYFUNCTION("""COMPUTED_VALUE"""),"")</f>
        <v/>
      </c>
      <c r="AB78" s="76" t="str">
        <f>IFERROR(__xludf.DUMMYFUNCTION("""COMPUTED_VALUE"""),"")</f>
        <v/>
      </c>
      <c r="AC78" s="55"/>
      <c r="AD78" s="55"/>
      <c r="AE78" s="55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ht="14.25" customHeight="1" outlineLevel="1">
      <c r="A79" s="74"/>
      <c r="B79" s="97"/>
      <c r="C79" s="105"/>
      <c r="D79" s="117"/>
      <c r="E79" s="93"/>
      <c r="F79" s="121"/>
      <c r="G79" s="99"/>
      <c r="H79" s="100"/>
      <c r="I79" s="64"/>
      <c r="J79" s="101"/>
      <c r="K79" s="88"/>
      <c r="L79" s="102"/>
      <c r="M79" s="88"/>
      <c r="N79" s="107"/>
      <c r="O79" s="127"/>
      <c r="P79" s="83"/>
      <c r="Q79" s="71"/>
      <c r="R79" s="74"/>
      <c r="S79" s="122"/>
      <c r="T79" s="122"/>
      <c r="U79" s="122"/>
      <c r="V79" s="74"/>
      <c r="W79" s="126"/>
      <c r="X79" s="126"/>
      <c r="Y79" s="126"/>
      <c r="Z79" s="75" t="str">
        <f>IFERROR(__xludf.DUMMYFUNCTION("""COMPUTED_VALUE"""),"")</f>
        <v/>
      </c>
      <c r="AA79" s="75" t="str">
        <f>IFERROR(__xludf.DUMMYFUNCTION("""COMPUTED_VALUE"""),"")</f>
        <v/>
      </c>
      <c r="AB79" s="76" t="str">
        <f>IFERROR(__xludf.DUMMYFUNCTION("""COMPUTED_VALUE"""),"")</f>
        <v/>
      </c>
      <c r="AC79" s="55"/>
      <c r="AD79" s="55"/>
      <c r="AE79" s="55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ht="14.25" customHeight="1" outlineLevel="1">
      <c r="A80" s="74"/>
      <c r="B80" s="97"/>
      <c r="C80" s="105"/>
      <c r="D80" s="117"/>
      <c r="E80" s="93"/>
      <c r="F80" s="121"/>
      <c r="G80" s="99"/>
      <c r="H80" s="100"/>
      <c r="I80" s="64"/>
      <c r="J80" s="101"/>
      <c r="K80" s="88"/>
      <c r="L80" s="102"/>
      <c r="M80" s="88"/>
      <c r="N80" s="107"/>
      <c r="O80" s="127"/>
      <c r="P80" s="83"/>
      <c r="Q80" s="71"/>
      <c r="R80" s="74"/>
      <c r="S80" s="122"/>
      <c r="T80" s="122"/>
      <c r="U80" s="122"/>
      <c r="V80" s="74"/>
      <c r="W80" s="126"/>
      <c r="X80" s="126"/>
      <c r="Y80" s="126"/>
      <c r="Z80" s="75" t="str">
        <f>IFERROR(__xludf.DUMMYFUNCTION("""COMPUTED_VALUE"""),"")</f>
        <v/>
      </c>
      <c r="AA80" s="75" t="str">
        <f>IFERROR(__xludf.DUMMYFUNCTION("""COMPUTED_VALUE"""),"")</f>
        <v/>
      </c>
      <c r="AB80" s="76" t="str">
        <f>IFERROR(__xludf.DUMMYFUNCTION("""COMPUTED_VALUE"""),"")</f>
        <v/>
      </c>
      <c r="AC80" s="55"/>
      <c r="AD80" s="55"/>
      <c r="AE80" s="55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ht="14.25" customHeight="1" outlineLevel="1">
      <c r="A81" s="74"/>
      <c r="B81" s="97"/>
      <c r="C81" s="105"/>
      <c r="D81" s="117"/>
      <c r="E81" s="93"/>
      <c r="F81" s="121"/>
      <c r="G81" s="99"/>
      <c r="H81" s="100"/>
      <c r="I81" s="64"/>
      <c r="J81" s="101"/>
      <c r="K81" s="88"/>
      <c r="L81" s="102"/>
      <c r="M81" s="88"/>
      <c r="N81" s="107"/>
      <c r="O81" s="127"/>
      <c r="P81" s="83"/>
      <c r="Q81" s="71"/>
      <c r="R81" s="74"/>
      <c r="S81" s="122"/>
      <c r="T81" s="122"/>
      <c r="U81" s="122"/>
      <c r="V81" s="74"/>
      <c r="W81" s="126"/>
      <c r="X81" s="126"/>
      <c r="Y81" s="126"/>
      <c r="Z81" s="75" t="str">
        <f>IFERROR(__xludf.DUMMYFUNCTION("""COMPUTED_VALUE"""),"")</f>
        <v/>
      </c>
      <c r="AA81" s="75" t="str">
        <f>IFERROR(__xludf.DUMMYFUNCTION("""COMPUTED_VALUE"""),"")</f>
        <v/>
      </c>
      <c r="AB81" s="76" t="str">
        <f>IFERROR(__xludf.DUMMYFUNCTION("""COMPUTED_VALUE"""),"")</f>
        <v/>
      </c>
      <c r="AC81" s="55"/>
      <c r="AD81" s="55"/>
      <c r="AE81" s="55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ht="14.25" customHeight="1" outlineLevel="1">
      <c r="A82" s="74"/>
      <c r="B82" s="97"/>
      <c r="C82" s="105"/>
      <c r="D82" s="117"/>
      <c r="E82" s="93"/>
      <c r="F82" s="121"/>
      <c r="G82" s="99"/>
      <c r="H82" s="100"/>
      <c r="I82" s="64"/>
      <c r="J82" s="101"/>
      <c r="K82" s="88"/>
      <c r="L82" s="102"/>
      <c r="M82" s="88"/>
      <c r="N82" s="107"/>
      <c r="O82" s="127"/>
      <c r="P82" s="83"/>
      <c r="Q82" s="71"/>
      <c r="R82" s="74"/>
      <c r="S82" s="122"/>
      <c r="T82" s="122"/>
      <c r="U82" s="122"/>
      <c r="V82" s="74"/>
      <c r="W82" s="126"/>
      <c r="X82" s="126"/>
      <c r="Y82" s="126"/>
      <c r="Z82" s="75" t="str">
        <f>IFERROR(__xludf.DUMMYFUNCTION("""COMPUTED_VALUE"""),"")</f>
        <v/>
      </c>
      <c r="AA82" s="75" t="str">
        <f>IFERROR(__xludf.DUMMYFUNCTION("""COMPUTED_VALUE"""),"")</f>
        <v/>
      </c>
      <c r="AB82" s="76" t="str">
        <f>IFERROR(__xludf.DUMMYFUNCTION("""COMPUTED_VALUE"""),"")</f>
        <v/>
      </c>
      <c r="AC82" s="55"/>
      <c r="AD82" s="55"/>
      <c r="AE82" s="55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ht="14.25" customHeight="1" outlineLevel="1">
      <c r="A83" s="74"/>
      <c r="B83" s="97"/>
      <c r="C83" s="105"/>
      <c r="D83" s="117"/>
      <c r="E83" s="93"/>
      <c r="F83" s="121"/>
      <c r="G83" s="99"/>
      <c r="H83" s="100"/>
      <c r="I83" s="64"/>
      <c r="J83" s="101"/>
      <c r="K83" s="88"/>
      <c r="L83" s="102"/>
      <c r="M83" s="88"/>
      <c r="N83" s="107"/>
      <c r="O83" s="127"/>
      <c r="P83" s="83"/>
      <c r="Q83" s="71"/>
      <c r="R83" s="74"/>
      <c r="S83" s="122"/>
      <c r="T83" s="122"/>
      <c r="U83" s="122"/>
      <c r="V83" s="74"/>
      <c r="W83" s="126"/>
      <c r="X83" s="126"/>
      <c r="Y83" s="126"/>
      <c r="Z83" s="75" t="str">
        <f>IFERROR(__xludf.DUMMYFUNCTION("""COMPUTED_VALUE"""),"")</f>
        <v/>
      </c>
      <c r="AA83" s="75" t="str">
        <f>IFERROR(__xludf.DUMMYFUNCTION("""COMPUTED_VALUE"""),"")</f>
        <v/>
      </c>
      <c r="AB83" s="76" t="str">
        <f>IFERROR(__xludf.DUMMYFUNCTION("""COMPUTED_VALUE"""),"")</f>
        <v/>
      </c>
      <c r="AC83" s="55"/>
      <c r="AD83" s="55"/>
      <c r="AE83" s="55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ht="14.25" customHeight="1" outlineLevel="1">
      <c r="A84" s="74"/>
      <c r="B84" s="97"/>
      <c r="C84" s="105"/>
      <c r="D84" s="117"/>
      <c r="E84" s="93"/>
      <c r="F84" s="121"/>
      <c r="G84" s="99"/>
      <c r="H84" s="100"/>
      <c r="I84" s="64"/>
      <c r="J84" s="101"/>
      <c r="K84" s="88"/>
      <c r="L84" s="102"/>
      <c r="M84" s="88"/>
      <c r="N84" s="107"/>
      <c r="O84" s="127"/>
      <c r="P84" s="83"/>
      <c r="Q84" s="71"/>
      <c r="R84" s="74"/>
      <c r="S84" s="122"/>
      <c r="T84" s="122"/>
      <c r="U84" s="122"/>
      <c r="V84" s="74"/>
      <c r="W84" s="126"/>
      <c r="X84" s="126"/>
      <c r="Y84" s="126"/>
      <c r="Z84" s="75" t="str">
        <f>IFERROR(__xludf.DUMMYFUNCTION("""COMPUTED_VALUE"""),"")</f>
        <v/>
      </c>
      <c r="AA84" s="75" t="str">
        <f>IFERROR(__xludf.DUMMYFUNCTION("""COMPUTED_VALUE"""),"")</f>
        <v/>
      </c>
      <c r="AB84" s="76" t="str">
        <f>IFERROR(__xludf.DUMMYFUNCTION("""COMPUTED_VALUE"""),"")</f>
        <v/>
      </c>
      <c r="AC84" s="55"/>
      <c r="AD84" s="55"/>
      <c r="AE84" s="55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ht="14.25" customHeight="1" outlineLevel="1">
      <c r="A85" s="74"/>
      <c r="B85" s="97"/>
      <c r="C85" s="105"/>
      <c r="D85" s="117"/>
      <c r="E85" s="93"/>
      <c r="F85" s="121"/>
      <c r="G85" s="99"/>
      <c r="H85" s="100"/>
      <c r="I85" s="64"/>
      <c r="J85" s="101"/>
      <c r="K85" s="88"/>
      <c r="L85" s="102"/>
      <c r="M85" s="88"/>
      <c r="N85" s="107"/>
      <c r="O85" s="127"/>
      <c r="P85" s="83"/>
      <c r="Q85" s="71"/>
      <c r="R85" s="74"/>
      <c r="S85" s="122"/>
      <c r="T85" s="122"/>
      <c r="U85" s="122"/>
      <c r="V85" s="74"/>
      <c r="W85" s="126"/>
      <c r="X85" s="126"/>
      <c r="Y85" s="126"/>
      <c r="Z85" s="75" t="str">
        <f>IFERROR(__xludf.DUMMYFUNCTION("""COMPUTED_VALUE"""),"")</f>
        <v/>
      </c>
      <c r="AA85" s="75" t="str">
        <f>IFERROR(__xludf.DUMMYFUNCTION("""COMPUTED_VALUE"""),"")</f>
        <v/>
      </c>
      <c r="AB85" s="76" t="str">
        <f>IFERROR(__xludf.DUMMYFUNCTION("""COMPUTED_VALUE"""),"")</f>
        <v/>
      </c>
      <c r="AC85" s="55"/>
      <c r="AD85" s="55"/>
      <c r="AE85" s="55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ht="14.25" customHeight="1" outlineLevel="1">
      <c r="A86" s="74"/>
      <c r="B86" s="97"/>
      <c r="C86" s="105"/>
      <c r="D86" s="117"/>
      <c r="E86" s="93"/>
      <c r="F86" s="121"/>
      <c r="G86" s="99"/>
      <c r="H86" s="100"/>
      <c r="I86" s="64"/>
      <c r="J86" s="101"/>
      <c r="K86" s="88"/>
      <c r="L86" s="102"/>
      <c r="M86" s="88"/>
      <c r="N86" s="107"/>
      <c r="O86" s="127"/>
      <c r="P86" s="83"/>
      <c r="Q86" s="71"/>
      <c r="R86" s="74"/>
      <c r="S86" s="122"/>
      <c r="T86" s="122"/>
      <c r="U86" s="122"/>
      <c r="V86" s="74"/>
      <c r="W86" s="126"/>
      <c r="X86" s="126"/>
      <c r="Y86" s="126"/>
      <c r="Z86" s="75" t="str">
        <f>IFERROR(__xludf.DUMMYFUNCTION("""COMPUTED_VALUE"""),"")</f>
        <v/>
      </c>
      <c r="AA86" s="75" t="str">
        <f>IFERROR(__xludf.DUMMYFUNCTION("""COMPUTED_VALUE"""),"")</f>
        <v/>
      </c>
      <c r="AB86" s="76" t="str">
        <f>IFERROR(__xludf.DUMMYFUNCTION("""COMPUTED_VALUE"""),"")</f>
        <v/>
      </c>
      <c r="AC86" s="55"/>
      <c r="AD86" s="55"/>
      <c r="AE86" s="55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ht="14.25" customHeight="1" outlineLevel="1">
      <c r="A87" s="74"/>
      <c r="B87" s="97"/>
      <c r="C87" s="105"/>
      <c r="D87" s="117"/>
      <c r="E87" s="93"/>
      <c r="F87" s="121"/>
      <c r="G87" s="99"/>
      <c r="H87" s="100"/>
      <c r="I87" s="64"/>
      <c r="J87" s="101"/>
      <c r="K87" s="88"/>
      <c r="L87" s="102"/>
      <c r="M87" s="88"/>
      <c r="N87" s="107"/>
      <c r="O87" s="127"/>
      <c r="P87" s="83"/>
      <c r="Q87" s="71"/>
      <c r="R87" s="74"/>
      <c r="S87" s="122"/>
      <c r="T87" s="122"/>
      <c r="U87" s="122"/>
      <c r="V87" s="74"/>
      <c r="W87" s="126"/>
      <c r="X87" s="126"/>
      <c r="Y87" s="126"/>
      <c r="Z87" s="75" t="str">
        <f>IFERROR(__xludf.DUMMYFUNCTION("""COMPUTED_VALUE"""),"")</f>
        <v/>
      </c>
      <c r="AA87" s="75" t="str">
        <f>IFERROR(__xludf.DUMMYFUNCTION("""COMPUTED_VALUE"""),"")</f>
        <v/>
      </c>
      <c r="AB87" s="76" t="str">
        <f>IFERROR(__xludf.DUMMYFUNCTION("""COMPUTED_VALUE"""),"")</f>
        <v/>
      </c>
      <c r="AC87" s="55"/>
      <c r="AD87" s="55"/>
      <c r="AE87" s="55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ht="14.25" customHeight="1" outlineLevel="1">
      <c r="A88" s="74"/>
      <c r="B88" s="97"/>
      <c r="C88" s="105"/>
      <c r="D88" s="117"/>
      <c r="E88" s="93"/>
      <c r="F88" s="121"/>
      <c r="G88" s="99"/>
      <c r="H88" s="100"/>
      <c r="I88" s="64"/>
      <c r="J88" s="101"/>
      <c r="K88" s="88"/>
      <c r="L88" s="102"/>
      <c r="M88" s="88"/>
      <c r="N88" s="107"/>
      <c r="O88" s="127"/>
      <c r="P88" s="83"/>
      <c r="Q88" s="71"/>
      <c r="R88" s="74"/>
      <c r="S88" s="122"/>
      <c r="T88" s="122"/>
      <c r="U88" s="122"/>
      <c r="V88" s="74"/>
      <c r="W88" s="126"/>
      <c r="X88" s="126"/>
      <c r="Y88" s="126"/>
      <c r="Z88" s="75" t="str">
        <f>IFERROR(__xludf.DUMMYFUNCTION("""COMPUTED_VALUE"""),"")</f>
        <v/>
      </c>
      <c r="AA88" s="75" t="str">
        <f>IFERROR(__xludf.DUMMYFUNCTION("""COMPUTED_VALUE"""),"")</f>
        <v/>
      </c>
      <c r="AB88" s="76" t="str">
        <f>IFERROR(__xludf.DUMMYFUNCTION("""COMPUTED_VALUE"""),"")</f>
        <v/>
      </c>
      <c r="AC88" s="55"/>
      <c r="AD88" s="55"/>
      <c r="AE88" s="55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ht="14.25" customHeight="1" outlineLevel="1">
      <c r="A89" s="74"/>
      <c r="B89" s="97"/>
      <c r="C89" s="105"/>
      <c r="D89" s="117"/>
      <c r="E89" s="93"/>
      <c r="F89" s="121"/>
      <c r="G89" s="99"/>
      <c r="H89" s="100"/>
      <c r="I89" s="64"/>
      <c r="J89" s="101"/>
      <c r="K89" s="88"/>
      <c r="L89" s="102"/>
      <c r="M89" s="88"/>
      <c r="N89" s="107"/>
      <c r="O89" s="127"/>
      <c r="P89" s="83"/>
      <c r="Q89" s="71"/>
      <c r="R89" s="74"/>
      <c r="S89" s="122"/>
      <c r="T89" s="122"/>
      <c r="U89" s="122"/>
      <c r="V89" s="74"/>
      <c r="W89" s="126"/>
      <c r="X89" s="126"/>
      <c r="Y89" s="126"/>
      <c r="Z89" s="75" t="str">
        <f>IFERROR(__xludf.DUMMYFUNCTION("""COMPUTED_VALUE"""),"")</f>
        <v/>
      </c>
      <c r="AA89" s="75" t="str">
        <f>IFERROR(__xludf.DUMMYFUNCTION("""COMPUTED_VALUE"""),"")</f>
        <v/>
      </c>
      <c r="AB89" s="76" t="str">
        <f>IFERROR(__xludf.DUMMYFUNCTION("""COMPUTED_VALUE"""),"")</f>
        <v/>
      </c>
      <c r="AC89" s="55"/>
      <c r="AD89" s="55"/>
      <c r="AE89" s="55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ht="14.25" customHeight="1" outlineLevel="1">
      <c r="A90" s="74"/>
      <c r="B90" s="97"/>
      <c r="C90" s="105"/>
      <c r="D90" s="117"/>
      <c r="E90" s="93"/>
      <c r="F90" s="121"/>
      <c r="G90" s="99"/>
      <c r="H90" s="100"/>
      <c r="I90" s="64"/>
      <c r="J90" s="101"/>
      <c r="K90" s="88"/>
      <c r="L90" s="102"/>
      <c r="M90" s="88"/>
      <c r="N90" s="107"/>
      <c r="O90" s="127"/>
      <c r="P90" s="83"/>
      <c r="Q90" s="71"/>
      <c r="R90" s="74"/>
      <c r="S90" s="122"/>
      <c r="T90" s="122"/>
      <c r="U90" s="122"/>
      <c r="V90" s="74"/>
      <c r="W90" s="126"/>
      <c r="X90" s="126"/>
      <c r="Y90" s="126"/>
      <c r="Z90" s="75" t="str">
        <f>IFERROR(__xludf.DUMMYFUNCTION("""COMPUTED_VALUE"""),"")</f>
        <v/>
      </c>
      <c r="AA90" s="75" t="str">
        <f>IFERROR(__xludf.DUMMYFUNCTION("""COMPUTED_VALUE"""),"")</f>
        <v/>
      </c>
      <c r="AB90" s="76" t="str">
        <f>IFERROR(__xludf.DUMMYFUNCTION("""COMPUTED_VALUE"""),"")</f>
        <v/>
      </c>
      <c r="AC90" s="55"/>
      <c r="AD90" s="55"/>
      <c r="AE90" s="55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ht="14.25" customHeight="1" outlineLevel="1">
      <c r="A91" s="74"/>
      <c r="B91" s="97"/>
      <c r="C91" s="105"/>
      <c r="D91" s="117"/>
      <c r="E91" s="93"/>
      <c r="F91" s="121"/>
      <c r="G91" s="99"/>
      <c r="H91" s="100"/>
      <c r="I91" s="64"/>
      <c r="J91" s="101"/>
      <c r="K91" s="88"/>
      <c r="L91" s="102"/>
      <c r="M91" s="88"/>
      <c r="N91" s="107"/>
      <c r="O91" s="127"/>
      <c r="P91" s="83"/>
      <c r="Q91" s="71"/>
      <c r="R91" s="74"/>
      <c r="S91" s="122"/>
      <c r="T91" s="122"/>
      <c r="U91" s="122"/>
      <c r="V91" s="74"/>
      <c r="W91" s="126"/>
      <c r="X91" s="126"/>
      <c r="Y91" s="126"/>
      <c r="Z91" s="75" t="str">
        <f>IFERROR(__xludf.DUMMYFUNCTION("""COMPUTED_VALUE"""),"")</f>
        <v/>
      </c>
      <c r="AA91" s="75" t="str">
        <f>IFERROR(__xludf.DUMMYFUNCTION("""COMPUTED_VALUE"""),"")</f>
        <v/>
      </c>
      <c r="AB91" s="76" t="str">
        <f>IFERROR(__xludf.DUMMYFUNCTION("""COMPUTED_VALUE"""),"")</f>
        <v/>
      </c>
      <c r="AC91" s="55"/>
      <c r="AD91" s="55"/>
      <c r="AE91" s="55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ht="14.25" customHeight="1" outlineLevel="1">
      <c r="A92" s="74"/>
      <c r="B92" s="97"/>
      <c r="C92" s="105"/>
      <c r="D92" s="117"/>
      <c r="E92" s="93"/>
      <c r="F92" s="121"/>
      <c r="G92" s="99"/>
      <c r="H92" s="100"/>
      <c r="I92" s="64"/>
      <c r="J92" s="101"/>
      <c r="K92" s="88"/>
      <c r="L92" s="102"/>
      <c r="M92" s="88"/>
      <c r="N92" s="107"/>
      <c r="O92" s="127"/>
      <c r="P92" s="83"/>
      <c r="Q92" s="71"/>
      <c r="R92" s="74"/>
      <c r="S92" s="122"/>
      <c r="T92" s="122"/>
      <c r="U92" s="122"/>
      <c r="V92" s="74"/>
      <c r="W92" s="126"/>
      <c r="X92" s="126"/>
      <c r="Y92" s="126"/>
      <c r="Z92" s="75" t="str">
        <f>IFERROR(__xludf.DUMMYFUNCTION("""COMPUTED_VALUE"""),"")</f>
        <v/>
      </c>
      <c r="AA92" s="75" t="str">
        <f>IFERROR(__xludf.DUMMYFUNCTION("""COMPUTED_VALUE"""),"")</f>
        <v/>
      </c>
      <c r="AB92" s="76" t="str">
        <f>IFERROR(__xludf.DUMMYFUNCTION("""COMPUTED_VALUE"""),"")</f>
        <v/>
      </c>
      <c r="AC92" s="55"/>
      <c r="AD92" s="55"/>
      <c r="AE92" s="55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ht="14.25" customHeight="1" outlineLevel="1">
      <c r="A93" s="74"/>
      <c r="B93" s="97"/>
      <c r="C93" s="105"/>
      <c r="D93" s="117"/>
      <c r="E93" s="93"/>
      <c r="F93" s="121"/>
      <c r="G93" s="99"/>
      <c r="H93" s="100"/>
      <c r="I93" s="64"/>
      <c r="J93" s="101"/>
      <c r="K93" s="88"/>
      <c r="L93" s="102"/>
      <c r="M93" s="88"/>
      <c r="N93" s="107"/>
      <c r="O93" s="127"/>
      <c r="P93" s="83"/>
      <c r="Q93" s="71"/>
      <c r="R93" s="74"/>
      <c r="S93" s="122"/>
      <c r="T93" s="122"/>
      <c r="U93" s="122"/>
      <c r="V93" s="74"/>
      <c r="W93" s="126"/>
      <c r="X93" s="126"/>
      <c r="Y93" s="126"/>
      <c r="Z93" s="75" t="str">
        <f>IFERROR(__xludf.DUMMYFUNCTION("""COMPUTED_VALUE"""),"")</f>
        <v/>
      </c>
      <c r="AA93" s="75" t="str">
        <f>IFERROR(__xludf.DUMMYFUNCTION("""COMPUTED_VALUE"""),"")</f>
        <v/>
      </c>
      <c r="AB93" s="76" t="str">
        <f>IFERROR(__xludf.DUMMYFUNCTION("""COMPUTED_VALUE"""),"")</f>
        <v/>
      </c>
      <c r="AC93" s="55"/>
      <c r="AD93" s="55"/>
      <c r="AE93" s="55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ht="14.25" customHeight="1" outlineLevel="1">
      <c r="A94" s="74"/>
      <c r="B94" s="97"/>
      <c r="C94" s="105"/>
      <c r="D94" s="117"/>
      <c r="E94" s="93"/>
      <c r="F94" s="121"/>
      <c r="G94" s="99"/>
      <c r="H94" s="100"/>
      <c r="I94" s="64"/>
      <c r="J94" s="101"/>
      <c r="K94" s="88"/>
      <c r="L94" s="102"/>
      <c r="M94" s="88"/>
      <c r="N94" s="107"/>
      <c r="O94" s="127"/>
      <c r="P94" s="83"/>
      <c r="Q94" s="71"/>
      <c r="R94" s="74"/>
      <c r="S94" s="122"/>
      <c r="T94" s="122"/>
      <c r="U94" s="122"/>
      <c r="V94" s="74"/>
      <c r="W94" s="126"/>
      <c r="X94" s="126"/>
      <c r="Y94" s="126"/>
      <c r="Z94" s="75" t="str">
        <f>IFERROR(__xludf.DUMMYFUNCTION("""COMPUTED_VALUE"""),"")</f>
        <v/>
      </c>
      <c r="AA94" s="75" t="str">
        <f>IFERROR(__xludf.DUMMYFUNCTION("""COMPUTED_VALUE"""),"")</f>
        <v/>
      </c>
      <c r="AB94" s="76" t="str">
        <f>IFERROR(__xludf.DUMMYFUNCTION("""COMPUTED_VALUE"""),"")</f>
        <v/>
      </c>
      <c r="AC94" s="55"/>
      <c r="AD94" s="55"/>
      <c r="AE94" s="55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ht="14.25" customHeight="1" outlineLevel="1">
      <c r="A95" s="74"/>
      <c r="B95" s="97"/>
      <c r="C95" s="105"/>
      <c r="D95" s="117"/>
      <c r="E95" s="93"/>
      <c r="F95" s="121"/>
      <c r="G95" s="99"/>
      <c r="H95" s="100"/>
      <c r="I95" s="64"/>
      <c r="J95" s="101"/>
      <c r="K95" s="88"/>
      <c r="L95" s="102"/>
      <c r="M95" s="88"/>
      <c r="N95" s="107"/>
      <c r="O95" s="127"/>
      <c r="P95" s="83"/>
      <c r="Q95" s="71"/>
      <c r="R95" s="74"/>
      <c r="S95" s="122"/>
      <c r="T95" s="122"/>
      <c r="U95" s="122"/>
      <c r="V95" s="74"/>
      <c r="W95" s="126"/>
      <c r="X95" s="126"/>
      <c r="Y95" s="126"/>
      <c r="Z95" s="75" t="str">
        <f>IFERROR(__xludf.DUMMYFUNCTION("""COMPUTED_VALUE"""),"")</f>
        <v/>
      </c>
      <c r="AA95" s="75" t="str">
        <f>IFERROR(__xludf.DUMMYFUNCTION("""COMPUTED_VALUE"""),"")</f>
        <v/>
      </c>
      <c r="AB95" s="76" t="str">
        <f>IFERROR(__xludf.DUMMYFUNCTION("""COMPUTED_VALUE"""),"")</f>
        <v/>
      </c>
      <c r="AC95" s="55"/>
      <c r="AD95" s="55"/>
      <c r="AE95" s="55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ht="14.25" customHeight="1" outlineLevel="1">
      <c r="A96" s="74"/>
      <c r="B96" s="97"/>
      <c r="C96" s="105"/>
      <c r="D96" s="117"/>
      <c r="E96" s="93"/>
      <c r="F96" s="121"/>
      <c r="G96" s="99"/>
      <c r="H96" s="100"/>
      <c r="I96" s="64"/>
      <c r="J96" s="101"/>
      <c r="K96" s="88"/>
      <c r="L96" s="102"/>
      <c r="M96" s="88"/>
      <c r="N96" s="107"/>
      <c r="O96" s="127"/>
      <c r="P96" s="83"/>
      <c r="Q96" s="71"/>
      <c r="R96" s="74"/>
      <c r="S96" s="122"/>
      <c r="T96" s="122"/>
      <c r="U96" s="122"/>
      <c r="V96" s="74"/>
      <c r="W96" s="126"/>
      <c r="X96" s="126"/>
      <c r="Y96" s="126"/>
      <c r="Z96" s="75" t="str">
        <f>IFERROR(__xludf.DUMMYFUNCTION("""COMPUTED_VALUE"""),"")</f>
        <v/>
      </c>
      <c r="AA96" s="75" t="str">
        <f>IFERROR(__xludf.DUMMYFUNCTION("""COMPUTED_VALUE"""),"")</f>
        <v/>
      </c>
      <c r="AB96" s="76" t="str">
        <f>IFERROR(__xludf.DUMMYFUNCTION("""COMPUTED_VALUE"""),"")</f>
        <v/>
      </c>
      <c r="AC96" s="55"/>
      <c r="AD96" s="55"/>
      <c r="AE96" s="55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ht="14.25" customHeight="1" outlineLevel="1">
      <c r="A97" s="74"/>
      <c r="B97" s="97"/>
      <c r="C97" s="105"/>
      <c r="D97" s="117"/>
      <c r="E97" s="93"/>
      <c r="F97" s="121"/>
      <c r="G97" s="99"/>
      <c r="H97" s="100"/>
      <c r="I97" s="64"/>
      <c r="J97" s="101"/>
      <c r="K97" s="88"/>
      <c r="L97" s="102"/>
      <c r="M97" s="88"/>
      <c r="N97" s="107"/>
      <c r="O97" s="127"/>
      <c r="P97" s="83"/>
      <c r="Q97" s="71"/>
      <c r="R97" s="74"/>
      <c r="S97" s="122"/>
      <c r="T97" s="122"/>
      <c r="U97" s="122"/>
      <c r="V97" s="74"/>
      <c r="W97" s="126"/>
      <c r="X97" s="126"/>
      <c r="Y97" s="126"/>
      <c r="Z97" s="75" t="str">
        <f>IFERROR(__xludf.DUMMYFUNCTION("""COMPUTED_VALUE"""),"")</f>
        <v/>
      </c>
      <c r="AA97" s="75" t="str">
        <f>IFERROR(__xludf.DUMMYFUNCTION("""COMPUTED_VALUE"""),"")</f>
        <v/>
      </c>
      <c r="AB97" s="76" t="str">
        <f>IFERROR(__xludf.DUMMYFUNCTION("""COMPUTED_VALUE"""),"")</f>
        <v/>
      </c>
      <c r="AC97" s="55"/>
      <c r="AD97" s="55"/>
      <c r="AE97" s="55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ht="14.25" customHeight="1" outlineLevel="1">
      <c r="A98" s="74"/>
      <c r="B98" s="97"/>
      <c r="C98" s="105"/>
      <c r="D98" s="117"/>
      <c r="E98" s="93"/>
      <c r="F98" s="121"/>
      <c r="G98" s="99"/>
      <c r="H98" s="100"/>
      <c r="I98" s="64"/>
      <c r="J98" s="101"/>
      <c r="K98" s="88"/>
      <c r="L98" s="102"/>
      <c r="M98" s="88"/>
      <c r="N98" s="107"/>
      <c r="O98" s="127"/>
      <c r="P98" s="83"/>
      <c r="Q98" s="71"/>
      <c r="R98" s="74"/>
      <c r="S98" s="122"/>
      <c r="T98" s="122"/>
      <c r="U98" s="122"/>
      <c r="V98" s="74"/>
      <c r="W98" s="126"/>
      <c r="X98" s="126"/>
      <c r="Y98" s="126"/>
      <c r="Z98" s="75" t="str">
        <f>IFERROR(__xludf.DUMMYFUNCTION("""COMPUTED_VALUE"""),"")</f>
        <v/>
      </c>
      <c r="AA98" s="75" t="str">
        <f>IFERROR(__xludf.DUMMYFUNCTION("""COMPUTED_VALUE"""),"")</f>
        <v/>
      </c>
      <c r="AB98" s="76" t="str">
        <f>IFERROR(__xludf.DUMMYFUNCTION("""COMPUTED_VALUE"""),"")</f>
        <v/>
      </c>
      <c r="AC98" s="55"/>
      <c r="AD98" s="55"/>
      <c r="AE98" s="55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ht="14.25" customHeight="1" outlineLevel="1">
      <c r="A99" s="74"/>
      <c r="B99" s="97"/>
      <c r="C99" s="105"/>
      <c r="D99" s="117"/>
      <c r="E99" s="93"/>
      <c r="F99" s="121"/>
      <c r="G99" s="99"/>
      <c r="H99" s="100"/>
      <c r="I99" s="64"/>
      <c r="J99" s="101"/>
      <c r="K99" s="88"/>
      <c r="L99" s="102"/>
      <c r="M99" s="88"/>
      <c r="N99" s="107"/>
      <c r="O99" s="127"/>
      <c r="P99" s="83"/>
      <c r="Q99" s="71"/>
      <c r="R99" s="74"/>
      <c r="S99" s="122"/>
      <c r="T99" s="122"/>
      <c r="U99" s="122"/>
      <c r="V99" s="74"/>
      <c r="W99" s="126"/>
      <c r="X99" s="126"/>
      <c r="Y99" s="126"/>
      <c r="Z99" s="75" t="str">
        <f>IFERROR(__xludf.DUMMYFUNCTION("""COMPUTED_VALUE"""),"")</f>
        <v/>
      </c>
      <c r="AA99" s="75" t="str">
        <f>IFERROR(__xludf.DUMMYFUNCTION("""COMPUTED_VALUE"""),"")</f>
        <v/>
      </c>
      <c r="AB99" s="76" t="str">
        <f>IFERROR(__xludf.DUMMYFUNCTION("""COMPUTED_VALUE"""),"")</f>
        <v/>
      </c>
      <c r="AC99" s="55"/>
      <c r="AD99" s="55"/>
      <c r="AE99" s="55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ht="18.75" customHeight="1">
      <c r="A100" s="48"/>
      <c r="B100" s="49"/>
      <c r="C100" s="50"/>
      <c r="D100" s="128"/>
      <c r="E100" s="51"/>
      <c r="F100" s="52"/>
      <c r="G100" s="48" t="s">
        <v>142</v>
      </c>
      <c r="H100" s="53"/>
      <c r="I100" s="53">
        <f>SUM(I12:I60)</f>
        <v>40</v>
      </c>
      <c r="J100" s="53"/>
      <c r="K100" s="48"/>
      <c r="L100" s="53"/>
      <c r="M100" s="53"/>
      <c r="N100" s="53"/>
      <c r="O100" s="53"/>
      <c r="P100" s="50"/>
      <c r="Q100" s="50"/>
      <c r="R100" s="53"/>
      <c r="S100" s="54"/>
      <c r="T100" s="54"/>
      <c r="U100" s="54"/>
      <c r="V100" s="50"/>
      <c r="W100" s="50"/>
      <c r="X100" s="50"/>
      <c r="Y100" s="50"/>
      <c r="Z100" s="55" t="str">
        <f>IFERROR(__xludf.DUMMYFUNCTION("""COMPUTED_VALUE"""),"")</f>
        <v/>
      </c>
      <c r="AA100" s="55" t="str">
        <f>IFERROR(__xludf.DUMMYFUNCTION("""COMPUTED_VALUE"""),"")</f>
        <v/>
      </c>
      <c r="AB100" s="55" t="str">
        <f>IFERROR(__xludf.DUMMYFUNCTION("""COMPUTED_VALUE"""),"")</f>
        <v/>
      </c>
      <c r="AC100" s="55"/>
      <c r="AD100" s="55"/>
      <c r="AE100" s="55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ht="52.5" customHeight="1">
      <c r="A101" s="129"/>
      <c r="B101" s="129"/>
      <c r="C101" s="105"/>
      <c r="D101" s="78"/>
      <c r="E101" s="93"/>
      <c r="F101" s="121"/>
      <c r="G101" s="130"/>
      <c r="H101" s="107"/>
      <c r="I101" s="107"/>
      <c r="J101" s="107"/>
      <c r="K101" s="107"/>
      <c r="L101" s="107"/>
      <c r="M101" s="107"/>
      <c r="N101" s="107"/>
      <c r="O101" s="69"/>
      <c r="P101" s="131"/>
      <c r="Q101" s="131"/>
      <c r="R101" s="131"/>
      <c r="S101" s="116"/>
      <c r="T101" s="116"/>
      <c r="U101" s="116"/>
      <c r="V101" s="116"/>
      <c r="W101" s="131"/>
      <c r="X101" s="131"/>
      <c r="Y101" s="131"/>
      <c r="Z101" s="55" t="str">
        <f>IFERROR(__xludf.DUMMYFUNCTION("""COMPUTED_VALUE"""),"")</f>
        <v/>
      </c>
      <c r="AA101" s="55" t="str">
        <f>IFERROR(__xludf.DUMMYFUNCTION("""COMPUTED_VALUE"""),"")</f>
        <v/>
      </c>
      <c r="AB101" s="55" t="str">
        <f>IFERROR(__xludf.DUMMYFUNCTION("""COMPUTED_VALUE"""),"")</f>
        <v/>
      </c>
      <c r="AC101" s="55"/>
      <c r="AD101" s="55"/>
      <c r="AE101" s="55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ht="48.75" customHeight="1">
      <c r="A102" s="132" t="s">
        <v>16</v>
      </c>
      <c r="B102" s="49" t="s">
        <v>17</v>
      </c>
      <c r="C102" s="50" t="s">
        <v>18</v>
      </c>
      <c r="D102" s="50" t="s">
        <v>19</v>
      </c>
      <c r="E102" s="51" t="s">
        <v>20</v>
      </c>
      <c r="F102" s="52" t="s">
        <v>21</v>
      </c>
      <c r="G102" s="48" t="s">
        <v>143</v>
      </c>
      <c r="H102" s="53" t="s">
        <v>23</v>
      </c>
      <c r="I102" s="53" t="s">
        <v>24</v>
      </c>
      <c r="J102" s="53" t="s">
        <v>3</v>
      </c>
      <c r="K102" s="48" t="s">
        <v>4</v>
      </c>
      <c r="L102" s="53" t="s">
        <v>5</v>
      </c>
      <c r="M102" s="53" t="s">
        <v>6</v>
      </c>
      <c r="N102" s="53" t="s">
        <v>7</v>
      </c>
      <c r="O102" s="53" t="s">
        <v>8</v>
      </c>
      <c r="P102" s="50" t="s">
        <v>144</v>
      </c>
      <c r="Q102" s="50" t="s">
        <v>145</v>
      </c>
      <c r="R102" s="50" t="s">
        <v>13</v>
      </c>
      <c r="S102" s="133" t="s">
        <v>146</v>
      </c>
      <c r="T102" s="54" t="s">
        <v>147</v>
      </c>
      <c r="U102" s="54" t="s">
        <v>148</v>
      </c>
      <c r="V102" s="50" t="s">
        <v>28</v>
      </c>
      <c r="W102" s="50" t="s">
        <v>29</v>
      </c>
      <c r="X102" s="50" t="s">
        <v>30</v>
      </c>
      <c r="Y102" s="50" t="s">
        <v>31</v>
      </c>
      <c r="Z102" s="55" t="str">
        <f>IFERROR(__xludf.DUMMYFUNCTION("""COMPUTED_VALUE"""),"#REF!")</f>
        <v>#REF!</v>
      </c>
      <c r="AA102" s="55" t="str">
        <f>IFERROR(__xludf.DUMMYFUNCTION("""COMPUTED_VALUE"""),"#REF!")</f>
        <v>#REF!</v>
      </c>
      <c r="AB102" s="55" t="str">
        <f>IFERROR(__xludf.DUMMYFUNCTION("""COMPUTED_VALUE"""),"#REF!")</f>
        <v>#REF!</v>
      </c>
      <c r="AC102" s="55"/>
      <c r="AD102" s="55"/>
      <c r="AE102" s="55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ht="14.25" customHeight="1">
      <c r="A103" s="134" t="s">
        <v>13</v>
      </c>
      <c r="B103" s="135" t="s">
        <v>149</v>
      </c>
      <c r="C103" s="58">
        <v>46147.0</v>
      </c>
      <c r="D103" s="136">
        <v>109842.0</v>
      </c>
      <c r="E103" s="60">
        <v>26.10696</v>
      </c>
      <c r="F103" s="60">
        <v>26.3639</v>
      </c>
      <c r="G103" s="137" t="s">
        <v>150</v>
      </c>
      <c r="H103" s="58" t="s">
        <v>34</v>
      </c>
      <c r="I103" s="138">
        <v>1.0</v>
      </c>
      <c r="J103" s="79">
        <v>2.52</v>
      </c>
      <c r="K103" s="139" t="s">
        <v>151</v>
      </c>
      <c r="L103" s="140" t="s">
        <v>152</v>
      </c>
      <c r="M103" s="81">
        <v>30.0</v>
      </c>
      <c r="N103" s="141">
        <v>1.0379999999999998</v>
      </c>
      <c r="O103" s="69">
        <f t="shared" ref="O103:O105" si="13">J103-(N103*0.2)</f>
        <v>2.3124</v>
      </c>
      <c r="P103" s="142" t="s">
        <v>153</v>
      </c>
      <c r="Q103" s="143" t="s">
        <v>154</v>
      </c>
      <c r="R103" s="144" t="s">
        <v>155</v>
      </c>
      <c r="S103" s="145"/>
      <c r="T103" s="146">
        <f t="shared" ref="T103:T329" si="14">U103*60%</f>
        <v>0</v>
      </c>
      <c r="U103" s="146"/>
      <c r="V103" s="147" t="s">
        <v>38</v>
      </c>
      <c r="W103" s="74" t="b">
        <v>1</v>
      </c>
      <c r="X103" s="74" t="b">
        <v>0</v>
      </c>
      <c r="Y103" s="74" t="b">
        <v>1</v>
      </c>
      <c r="Z103" s="148" t="str">
        <f>IFERROR(__xludf.DUMMYFUNCTION("""COMPUTED_VALUE"""),"#REF!")</f>
        <v>#REF!</v>
      </c>
      <c r="AA103" s="148" t="str">
        <f>IFERROR(__xludf.DUMMYFUNCTION("""COMPUTED_VALUE"""),"#REF!")</f>
        <v>#REF!</v>
      </c>
      <c r="AB103" s="148" t="str">
        <f>IFERROR(__xludf.DUMMYFUNCTION("""COMPUTED_VALUE"""),"#REF!")</f>
        <v>#REF!</v>
      </c>
      <c r="AC103" s="149">
        <f t="array" ref="AC103:AC330">C103:C330</f>
        <v>46147</v>
      </c>
      <c r="AD103" s="148"/>
      <c r="AE103" s="148">
        <f t="array" ref="AE103:AE330">D103:D330</f>
        <v>109842</v>
      </c>
      <c r="AF103" s="148" t="str">
        <f t="array" ref="AF103:AF330">"SO" &amp;E103:E330&amp;"-MO"&amp;F103:F330</f>
        <v>SO26.10696-MO26.3639</v>
      </c>
      <c r="AG103" s="148"/>
      <c r="AH103" s="149" t="str">
        <f t="array" ref="AH103:AH330">G103:G330</f>
        <v>DPDMT: 18KY 30RD/1.038cts 2.52gr P10927-5.5mm </v>
      </c>
      <c r="AI103" s="148" t="str">
        <f t="array" ref="AI103:AJ330">Z103:AA330</f>
        <v>#REF!</v>
      </c>
      <c r="AJ103" s="148" t="e">
        <v>#REF!</v>
      </c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</row>
    <row r="104" ht="14.25" customHeight="1">
      <c r="A104" s="134" t="s">
        <v>13</v>
      </c>
      <c r="B104" s="135" t="s">
        <v>149</v>
      </c>
      <c r="C104" s="58">
        <v>46147.0</v>
      </c>
      <c r="D104" s="136">
        <v>109843.0</v>
      </c>
      <c r="E104" s="60">
        <v>26.10697</v>
      </c>
      <c r="F104" s="60">
        <v>26.36391</v>
      </c>
      <c r="G104" s="137" t="s">
        <v>156</v>
      </c>
      <c r="H104" s="58" t="s">
        <v>34</v>
      </c>
      <c r="I104" s="138">
        <v>1.0</v>
      </c>
      <c r="J104" s="79">
        <v>20.67</v>
      </c>
      <c r="K104" s="139" t="s">
        <v>35</v>
      </c>
      <c r="L104" s="140" t="s">
        <v>157</v>
      </c>
      <c r="M104" s="81"/>
      <c r="N104" s="141"/>
      <c r="O104" s="69">
        <f t="shared" si="13"/>
        <v>20.67</v>
      </c>
      <c r="P104" s="142" t="s">
        <v>153</v>
      </c>
      <c r="Q104" s="143" t="s">
        <v>154</v>
      </c>
      <c r="R104" s="144" t="s">
        <v>155</v>
      </c>
      <c r="S104" s="145"/>
      <c r="T104" s="146">
        <f t="shared" si="14"/>
        <v>0</v>
      </c>
      <c r="U104" s="146"/>
      <c r="V104" s="147" t="s">
        <v>38</v>
      </c>
      <c r="W104" s="74" t="b">
        <v>0</v>
      </c>
      <c r="X104" s="74" t="b">
        <v>0</v>
      </c>
      <c r="Y104" s="74" t="b">
        <v>1</v>
      </c>
      <c r="Z104" s="148" t="str">
        <f>IFERROR(__xludf.DUMMYFUNCTION("""COMPUTED_VALUE"""),"#REF!")</f>
        <v>#REF!</v>
      </c>
      <c r="AA104" s="148" t="str">
        <f>IFERROR(__xludf.DUMMYFUNCTION("""COMPUTED_VALUE"""),"#REF!")</f>
        <v>#REF!</v>
      </c>
      <c r="AB104" s="148" t="str">
        <f>IFERROR(__xludf.DUMMYFUNCTION("""COMPUTED_VALUE"""),"#REF!")</f>
        <v>#REF!</v>
      </c>
      <c r="AC104" s="149">
        <v>46147.0</v>
      </c>
      <c r="AD104" s="148"/>
      <c r="AE104" s="148">
        <v>109843.0</v>
      </c>
      <c r="AF104" s="148" t="s">
        <v>158</v>
      </c>
      <c r="AG104" s="148"/>
      <c r="AH104" s="149" t="s">
        <v>156</v>
      </c>
      <c r="AI104" s="148" t="e">
        <v>#REF!</v>
      </c>
      <c r="AJ104" s="148" t="e">
        <v>#REF!</v>
      </c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</row>
    <row r="105" ht="14.25" customHeight="1">
      <c r="A105" s="134" t="s">
        <v>13</v>
      </c>
      <c r="B105" s="135" t="s">
        <v>149</v>
      </c>
      <c r="C105" s="58">
        <v>46147.0</v>
      </c>
      <c r="D105" s="136">
        <v>109844.0</v>
      </c>
      <c r="E105" s="60">
        <v>26.10493</v>
      </c>
      <c r="F105" s="60">
        <v>26.35681</v>
      </c>
      <c r="G105" s="137" t="s">
        <v>159</v>
      </c>
      <c r="H105" s="58" t="s">
        <v>34</v>
      </c>
      <c r="I105" s="138">
        <v>1.0</v>
      </c>
      <c r="J105" s="79">
        <v>10.95</v>
      </c>
      <c r="K105" s="80" t="s">
        <v>160</v>
      </c>
      <c r="L105" s="140" t="s">
        <v>161</v>
      </c>
      <c r="M105" s="81"/>
      <c r="N105" s="141"/>
      <c r="O105" s="69">
        <f t="shared" si="13"/>
        <v>10.95</v>
      </c>
      <c r="P105" s="142" t="s">
        <v>162</v>
      </c>
      <c r="Q105" s="143" t="s">
        <v>163</v>
      </c>
      <c r="R105" s="74"/>
      <c r="S105" s="145"/>
      <c r="T105" s="146">
        <f t="shared" si="14"/>
        <v>0</v>
      </c>
      <c r="U105" s="146"/>
      <c r="V105" s="147" t="s">
        <v>38</v>
      </c>
      <c r="W105" s="74" t="b">
        <v>0</v>
      </c>
      <c r="X105" s="74" t="b">
        <v>0</v>
      </c>
      <c r="Y105" s="74" t="b">
        <v>1</v>
      </c>
      <c r="Z105" s="148" t="str">
        <f>IFERROR(__xludf.DUMMYFUNCTION("""COMPUTED_VALUE"""),"#REF!")</f>
        <v>#REF!</v>
      </c>
      <c r="AA105" s="148" t="str">
        <f>IFERROR(__xludf.DUMMYFUNCTION("""COMPUTED_VALUE"""),"#REF!")</f>
        <v>#REF!</v>
      </c>
      <c r="AB105" s="148" t="str">
        <f>IFERROR(__xludf.DUMMYFUNCTION("""COMPUTED_VALUE"""),"#REF!")</f>
        <v>#REF!</v>
      </c>
      <c r="AC105" s="149">
        <v>46147.0</v>
      </c>
      <c r="AD105" s="148"/>
      <c r="AE105" s="148">
        <v>109844.0</v>
      </c>
      <c r="AF105" s="148" t="s">
        <v>164</v>
      </c>
      <c r="AG105" s="148"/>
      <c r="AH105" s="149" t="s">
        <v>159</v>
      </c>
      <c r="AI105" s="148" t="e">
        <v>#REF!</v>
      </c>
      <c r="AJ105" s="148" t="e">
        <v>#REF!</v>
      </c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</row>
    <row r="106" ht="14.25" customHeight="1">
      <c r="A106" s="134" t="s">
        <v>13</v>
      </c>
      <c r="B106" s="135" t="s">
        <v>165</v>
      </c>
      <c r="C106" s="77">
        <v>46147.0</v>
      </c>
      <c r="D106" s="136">
        <v>109846.0</v>
      </c>
      <c r="E106" s="60">
        <v>25.10008</v>
      </c>
      <c r="F106" s="60">
        <v>26.364</v>
      </c>
      <c r="G106" s="62" t="s">
        <v>166</v>
      </c>
      <c r="H106" s="63" t="s">
        <v>45</v>
      </c>
      <c r="I106" s="138">
        <v>1.0</v>
      </c>
      <c r="J106" s="79">
        <v>5.13</v>
      </c>
      <c r="K106" s="80" t="s">
        <v>126</v>
      </c>
      <c r="L106" s="66" t="s">
        <v>167</v>
      </c>
      <c r="M106" s="81">
        <v>57.0</v>
      </c>
      <c r="N106" s="150">
        <v>0.474</v>
      </c>
      <c r="O106" s="69">
        <v>5.0352</v>
      </c>
      <c r="P106" s="151" t="s">
        <v>153</v>
      </c>
      <c r="Q106" s="143" t="s">
        <v>154</v>
      </c>
      <c r="R106" s="144" t="s">
        <v>155</v>
      </c>
      <c r="S106" s="145"/>
      <c r="T106" s="146">
        <f t="shared" si="14"/>
        <v>0</v>
      </c>
      <c r="U106" s="146"/>
      <c r="V106" s="147" t="s">
        <v>38</v>
      </c>
      <c r="W106" s="74" t="b">
        <v>1</v>
      </c>
      <c r="X106" s="74" t="b">
        <v>0</v>
      </c>
      <c r="Y106" s="74" t="b">
        <v>1</v>
      </c>
      <c r="Z106" s="148" t="str">
        <f>IFERROR(__xludf.DUMMYFUNCTION("""COMPUTED_VALUE"""),"#REF!")</f>
        <v>#REF!</v>
      </c>
      <c r="AA106" s="148" t="str">
        <f>IFERROR(__xludf.DUMMYFUNCTION("""COMPUTED_VALUE"""),"#REF!")</f>
        <v>#REF!</v>
      </c>
      <c r="AB106" s="148" t="str">
        <f>IFERROR(__xludf.DUMMYFUNCTION("""COMPUTED_VALUE"""),"#REF!")</f>
        <v>#REF!</v>
      </c>
      <c r="AC106" s="149">
        <v>46147.0</v>
      </c>
      <c r="AD106" s="148"/>
      <c r="AE106" s="148">
        <v>109846.0</v>
      </c>
      <c r="AF106" s="148" t="s">
        <v>168</v>
      </c>
      <c r="AG106" s="148"/>
      <c r="AH106" s="149" t="s">
        <v>166</v>
      </c>
      <c r="AI106" s="148" t="e">
        <v>#REF!</v>
      </c>
      <c r="AJ106" s="148" t="e">
        <v>#REF!</v>
      </c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</row>
    <row r="107" ht="14.25" customHeight="1">
      <c r="A107" s="152" t="s">
        <v>13</v>
      </c>
      <c r="B107" s="135" t="s">
        <v>169</v>
      </c>
      <c r="C107" s="77">
        <v>46148.0</v>
      </c>
      <c r="D107" s="136">
        <v>109847.0</v>
      </c>
      <c r="E107" s="60">
        <v>26.10493</v>
      </c>
      <c r="F107" s="60">
        <v>26.35682</v>
      </c>
      <c r="G107" s="62" t="s">
        <v>170</v>
      </c>
      <c r="H107" s="63" t="s">
        <v>34</v>
      </c>
      <c r="I107" s="138">
        <v>1.0</v>
      </c>
      <c r="J107" s="79">
        <v>11.57</v>
      </c>
      <c r="K107" s="80" t="s">
        <v>160</v>
      </c>
      <c r="L107" s="66" t="s">
        <v>171</v>
      </c>
      <c r="M107" s="81"/>
      <c r="N107" s="150"/>
      <c r="O107" s="69">
        <v>11.57</v>
      </c>
      <c r="P107" s="151" t="s">
        <v>162</v>
      </c>
      <c r="Q107" s="143" t="s">
        <v>163</v>
      </c>
      <c r="R107" s="74"/>
      <c r="S107" s="145"/>
      <c r="T107" s="146">
        <f t="shared" si="14"/>
        <v>0</v>
      </c>
      <c r="U107" s="146"/>
      <c r="V107" s="147" t="s">
        <v>38</v>
      </c>
      <c r="W107" s="74" t="b">
        <v>1</v>
      </c>
      <c r="X107" s="74" t="b">
        <v>0</v>
      </c>
      <c r="Y107" s="74" t="b">
        <v>1</v>
      </c>
      <c r="Z107" s="148" t="str">
        <f>IFERROR(__xludf.DUMMYFUNCTION("""COMPUTED_VALUE"""),"#REF!")</f>
        <v>#REF!</v>
      </c>
      <c r="AA107" s="148" t="str">
        <f>IFERROR(__xludf.DUMMYFUNCTION("""COMPUTED_VALUE"""),"#REF!")</f>
        <v>#REF!</v>
      </c>
      <c r="AB107" s="148" t="str">
        <f>IFERROR(__xludf.DUMMYFUNCTION("""COMPUTED_VALUE"""),"#REF!")</f>
        <v>#REF!</v>
      </c>
      <c r="AC107" s="153">
        <v>46148.0</v>
      </c>
      <c r="AD107" s="148"/>
      <c r="AE107" s="148">
        <v>109847.0</v>
      </c>
      <c r="AF107" s="148" t="s">
        <v>172</v>
      </c>
      <c r="AG107" s="148"/>
      <c r="AH107" s="148" t="s">
        <v>170</v>
      </c>
      <c r="AI107" s="148" t="e">
        <v>#REF!</v>
      </c>
      <c r="AJ107" s="148" t="e">
        <v>#REF!</v>
      </c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</row>
    <row r="108" ht="14.25" customHeight="1">
      <c r="A108" s="152" t="s">
        <v>13</v>
      </c>
      <c r="B108" s="135" t="s">
        <v>169</v>
      </c>
      <c r="C108" s="77">
        <v>46148.0</v>
      </c>
      <c r="D108" s="136">
        <v>109848.0</v>
      </c>
      <c r="E108" s="60">
        <v>26.10493</v>
      </c>
      <c r="F108" s="60">
        <v>26.35683</v>
      </c>
      <c r="G108" s="62" t="s">
        <v>173</v>
      </c>
      <c r="H108" s="63" t="s">
        <v>34</v>
      </c>
      <c r="I108" s="138">
        <v>1.0</v>
      </c>
      <c r="J108" s="79">
        <v>11.52</v>
      </c>
      <c r="K108" s="80" t="s">
        <v>160</v>
      </c>
      <c r="L108" s="66" t="s">
        <v>174</v>
      </c>
      <c r="M108" s="81"/>
      <c r="N108" s="150"/>
      <c r="O108" s="69">
        <v>11.52</v>
      </c>
      <c r="P108" s="151" t="s">
        <v>162</v>
      </c>
      <c r="Q108" s="143" t="s">
        <v>163</v>
      </c>
      <c r="R108" s="74"/>
      <c r="S108" s="145"/>
      <c r="T108" s="146">
        <f t="shared" si="14"/>
        <v>0</v>
      </c>
      <c r="U108" s="146"/>
      <c r="V108" s="147" t="s">
        <v>38</v>
      </c>
      <c r="W108" s="74" t="b">
        <v>0</v>
      </c>
      <c r="X108" s="74" t="b">
        <v>0</v>
      </c>
      <c r="Y108" s="74" t="b">
        <v>1</v>
      </c>
      <c r="Z108" s="148" t="str">
        <f>IFERROR(__xludf.DUMMYFUNCTION("""COMPUTED_VALUE"""),"#REF!")</f>
        <v>#REF!</v>
      </c>
      <c r="AA108" s="148" t="str">
        <f>IFERROR(__xludf.DUMMYFUNCTION("""COMPUTED_VALUE"""),"#REF!")</f>
        <v>#REF!</v>
      </c>
      <c r="AB108" s="148" t="str">
        <f>IFERROR(__xludf.DUMMYFUNCTION("""COMPUTED_VALUE"""),"#REF!")</f>
        <v>#REF!</v>
      </c>
      <c r="AC108" s="153">
        <v>46148.0</v>
      </c>
      <c r="AD108" s="148"/>
      <c r="AE108" s="148">
        <v>109848.0</v>
      </c>
      <c r="AF108" s="148" t="s">
        <v>175</v>
      </c>
      <c r="AG108" s="148"/>
      <c r="AH108" s="148" t="s">
        <v>173</v>
      </c>
      <c r="AI108" s="148" t="e">
        <v>#REF!</v>
      </c>
      <c r="AJ108" s="148" t="e">
        <v>#REF!</v>
      </c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</row>
    <row r="109" ht="14.25" customHeight="1">
      <c r="A109" s="152" t="s">
        <v>13</v>
      </c>
      <c r="B109" s="135" t="s">
        <v>169</v>
      </c>
      <c r="C109" s="77">
        <v>46148.0</v>
      </c>
      <c r="D109" s="136">
        <v>109849.0</v>
      </c>
      <c r="E109" s="60">
        <v>25.9496</v>
      </c>
      <c r="F109" s="60">
        <v>25.34187</v>
      </c>
      <c r="G109" s="62" t="s">
        <v>176</v>
      </c>
      <c r="H109" s="63" t="s">
        <v>34</v>
      </c>
      <c r="I109" s="138">
        <v>1.0</v>
      </c>
      <c r="J109" s="79">
        <v>2.81</v>
      </c>
      <c r="K109" s="80" t="s">
        <v>177</v>
      </c>
      <c r="L109" s="66" t="s">
        <v>178</v>
      </c>
      <c r="M109" s="81"/>
      <c r="N109" s="150"/>
      <c r="O109" s="69">
        <v>2.81</v>
      </c>
      <c r="P109" s="151" t="s">
        <v>162</v>
      </c>
      <c r="Q109" s="143" t="s">
        <v>154</v>
      </c>
      <c r="R109" s="74" t="s">
        <v>179</v>
      </c>
      <c r="S109" s="145"/>
      <c r="T109" s="146">
        <f t="shared" si="14"/>
        <v>0</v>
      </c>
      <c r="U109" s="146"/>
      <c r="V109" s="147" t="s">
        <v>38</v>
      </c>
      <c r="W109" s="74" t="b">
        <v>0</v>
      </c>
      <c r="X109" s="74" t="b">
        <v>0</v>
      </c>
      <c r="Y109" s="74" t="b">
        <v>1</v>
      </c>
      <c r="Z109" s="148" t="str">
        <f>IFERROR(__xludf.DUMMYFUNCTION("""COMPUTED_VALUE"""),"#REF!")</f>
        <v>#REF!</v>
      </c>
      <c r="AA109" s="148" t="str">
        <f>IFERROR(__xludf.DUMMYFUNCTION("""COMPUTED_VALUE"""),"#REF!")</f>
        <v>#REF!</v>
      </c>
      <c r="AB109" s="148" t="str">
        <f>IFERROR(__xludf.DUMMYFUNCTION("""COMPUTED_VALUE"""),"#REF!")</f>
        <v>#REF!</v>
      </c>
      <c r="AC109" s="153">
        <v>46148.0</v>
      </c>
      <c r="AD109" s="148"/>
      <c r="AE109" s="148">
        <v>109849.0</v>
      </c>
      <c r="AF109" s="148" t="s">
        <v>180</v>
      </c>
      <c r="AG109" s="148"/>
      <c r="AH109" s="148" t="s">
        <v>176</v>
      </c>
      <c r="AI109" s="148" t="e">
        <v>#REF!</v>
      </c>
      <c r="AJ109" s="148" t="e">
        <v>#REF!</v>
      </c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</row>
    <row r="110" ht="14.25" customHeight="1">
      <c r="A110" s="152" t="s">
        <v>13</v>
      </c>
      <c r="B110" s="135" t="s">
        <v>169</v>
      </c>
      <c r="C110" s="77">
        <v>46148.0</v>
      </c>
      <c r="D110" s="136">
        <v>109850.0</v>
      </c>
      <c r="E110" s="60">
        <v>25.9384</v>
      </c>
      <c r="F110" s="60">
        <v>25.33754</v>
      </c>
      <c r="G110" s="62" t="s">
        <v>181</v>
      </c>
      <c r="H110" s="63" t="s">
        <v>34</v>
      </c>
      <c r="I110" s="138">
        <v>1.0</v>
      </c>
      <c r="J110" s="79">
        <v>1.7</v>
      </c>
      <c r="K110" s="80" t="s">
        <v>177</v>
      </c>
      <c r="L110" s="66" t="s">
        <v>182</v>
      </c>
      <c r="M110" s="81"/>
      <c r="N110" s="150"/>
      <c r="O110" s="69">
        <v>1.7</v>
      </c>
      <c r="P110" s="151" t="s">
        <v>162</v>
      </c>
      <c r="Q110" s="143" t="s">
        <v>154</v>
      </c>
      <c r="R110" s="74" t="s">
        <v>179</v>
      </c>
      <c r="S110" s="145"/>
      <c r="T110" s="146">
        <f t="shared" si="14"/>
        <v>0</v>
      </c>
      <c r="U110" s="146"/>
      <c r="V110" s="147" t="s">
        <v>38</v>
      </c>
      <c r="W110" s="74" t="b">
        <v>0</v>
      </c>
      <c r="X110" s="74" t="b">
        <v>0</v>
      </c>
      <c r="Y110" s="74" t="b">
        <v>1</v>
      </c>
      <c r="Z110" s="148" t="str">
        <f>IFERROR(__xludf.DUMMYFUNCTION("""COMPUTED_VALUE"""),"#REF!")</f>
        <v>#REF!</v>
      </c>
      <c r="AA110" s="148" t="str">
        <f>IFERROR(__xludf.DUMMYFUNCTION("""COMPUTED_VALUE"""),"#REF!")</f>
        <v>#REF!</v>
      </c>
      <c r="AB110" s="148" t="str">
        <f>IFERROR(__xludf.DUMMYFUNCTION("""COMPUTED_VALUE"""),"#REF!")</f>
        <v>#REF!</v>
      </c>
      <c r="AC110" s="153">
        <v>46148.0</v>
      </c>
      <c r="AD110" s="148"/>
      <c r="AE110" s="148">
        <v>109850.0</v>
      </c>
      <c r="AF110" s="148" t="s">
        <v>183</v>
      </c>
      <c r="AG110" s="148"/>
      <c r="AH110" s="148" t="s">
        <v>181</v>
      </c>
      <c r="AI110" s="148" t="e">
        <v>#REF!</v>
      </c>
      <c r="AJ110" s="148" t="e">
        <v>#REF!</v>
      </c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</row>
    <row r="111" ht="14.25" customHeight="1">
      <c r="A111" s="152" t="s">
        <v>13</v>
      </c>
      <c r="B111" s="135" t="s">
        <v>169</v>
      </c>
      <c r="C111" s="77">
        <v>46148.0</v>
      </c>
      <c r="D111" s="136">
        <v>109851.0</v>
      </c>
      <c r="E111" s="60">
        <v>25.9498</v>
      </c>
      <c r="F111" s="60">
        <v>25.34706</v>
      </c>
      <c r="G111" s="62" t="s">
        <v>184</v>
      </c>
      <c r="H111" s="63" t="s">
        <v>34</v>
      </c>
      <c r="I111" s="138">
        <v>1.0</v>
      </c>
      <c r="J111" s="79">
        <v>2.41</v>
      </c>
      <c r="K111" s="80" t="s">
        <v>177</v>
      </c>
      <c r="L111" s="66" t="s">
        <v>185</v>
      </c>
      <c r="M111" s="81"/>
      <c r="N111" s="150"/>
      <c r="O111" s="69">
        <v>2.41</v>
      </c>
      <c r="P111" s="151" t="s">
        <v>162</v>
      </c>
      <c r="Q111" s="143" t="s">
        <v>154</v>
      </c>
      <c r="R111" s="74" t="s">
        <v>179</v>
      </c>
      <c r="S111" s="145"/>
      <c r="T111" s="146">
        <f t="shared" si="14"/>
        <v>0</v>
      </c>
      <c r="U111" s="146"/>
      <c r="V111" s="147" t="s">
        <v>38</v>
      </c>
      <c r="W111" s="74" t="b">
        <v>0</v>
      </c>
      <c r="X111" s="74" t="b">
        <v>0</v>
      </c>
      <c r="Y111" s="74" t="b">
        <v>1</v>
      </c>
      <c r="Z111" s="148" t="str">
        <f>IFERROR(__xludf.DUMMYFUNCTION("""COMPUTED_VALUE"""),"#REF!")</f>
        <v>#REF!</v>
      </c>
      <c r="AA111" s="148" t="str">
        <f>IFERROR(__xludf.DUMMYFUNCTION("""COMPUTED_VALUE"""),"#REF!")</f>
        <v>#REF!</v>
      </c>
      <c r="AB111" s="148" t="str">
        <f>IFERROR(__xludf.DUMMYFUNCTION("""COMPUTED_VALUE"""),"#REF!")</f>
        <v>#REF!</v>
      </c>
      <c r="AC111" s="153">
        <v>46148.0</v>
      </c>
      <c r="AD111" s="148"/>
      <c r="AE111" s="148">
        <v>109851.0</v>
      </c>
      <c r="AF111" s="148" t="s">
        <v>186</v>
      </c>
      <c r="AG111" s="148"/>
      <c r="AH111" s="148" t="s">
        <v>184</v>
      </c>
      <c r="AI111" s="148" t="e">
        <v>#REF!</v>
      </c>
      <c r="AJ111" s="148" t="e">
        <v>#REF!</v>
      </c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</row>
    <row r="112" ht="14.25" customHeight="1">
      <c r="A112" s="152" t="s">
        <v>13</v>
      </c>
      <c r="B112" s="135" t="s">
        <v>169</v>
      </c>
      <c r="C112" s="77">
        <v>46148.0</v>
      </c>
      <c r="D112" s="136">
        <v>109852.0</v>
      </c>
      <c r="E112" s="60">
        <v>25.10258</v>
      </c>
      <c r="F112" s="60">
        <v>25.34969</v>
      </c>
      <c r="G112" s="62" t="s">
        <v>187</v>
      </c>
      <c r="H112" s="63" t="s">
        <v>34</v>
      </c>
      <c r="I112" s="138">
        <v>1.0</v>
      </c>
      <c r="J112" s="79">
        <v>4.71</v>
      </c>
      <c r="K112" s="80" t="s">
        <v>188</v>
      </c>
      <c r="L112" s="66" t="s">
        <v>189</v>
      </c>
      <c r="M112" s="81">
        <v>2.0</v>
      </c>
      <c r="N112" s="150">
        <v>0.44</v>
      </c>
      <c r="O112" s="69">
        <v>4.622</v>
      </c>
      <c r="P112" s="151" t="s">
        <v>162</v>
      </c>
      <c r="Q112" s="143" t="s">
        <v>163</v>
      </c>
      <c r="R112" s="74"/>
      <c r="S112" s="145"/>
      <c r="T112" s="146">
        <f t="shared" si="14"/>
        <v>0</v>
      </c>
      <c r="U112" s="146"/>
      <c r="V112" s="147" t="s">
        <v>38</v>
      </c>
      <c r="W112" s="74" t="b">
        <v>1</v>
      </c>
      <c r="X112" s="74" t="b">
        <v>0</v>
      </c>
      <c r="Y112" s="74" t="b">
        <v>1</v>
      </c>
      <c r="Z112" s="148" t="str">
        <f>IFERROR(__xludf.DUMMYFUNCTION("""COMPUTED_VALUE"""),"#REF!")</f>
        <v>#REF!</v>
      </c>
      <c r="AA112" s="148" t="str">
        <f>IFERROR(__xludf.DUMMYFUNCTION("""COMPUTED_VALUE"""),"#REF!")</f>
        <v>#REF!</v>
      </c>
      <c r="AB112" s="148" t="str">
        <f>IFERROR(__xludf.DUMMYFUNCTION("""COMPUTED_VALUE"""),"#REF!")</f>
        <v>#REF!</v>
      </c>
      <c r="AC112" s="153">
        <v>46148.0</v>
      </c>
      <c r="AD112" s="148"/>
      <c r="AE112" s="148">
        <v>109852.0</v>
      </c>
      <c r="AF112" s="148" t="s">
        <v>190</v>
      </c>
      <c r="AG112" s="148"/>
      <c r="AH112" s="148" t="s">
        <v>187</v>
      </c>
      <c r="AI112" s="148" t="e">
        <v>#REF!</v>
      </c>
      <c r="AJ112" s="148" t="e">
        <v>#REF!</v>
      </c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</row>
    <row r="113" ht="14.25" customHeight="1">
      <c r="A113" s="152" t="s">
        <v>13</v>
      </c>
      <c r="B113" s="135" t="s">
        <v>169</v>
      </c>
      <c r="C113" s="77">
        <v>46148.0</v>
      </c>
      <c r="D113" s="136">
        <v>109853.0</v>
      </c>
      <c r="E113" s="60">
        <v>25.10258</v>
      </c>
      <c r="F113" s="60">
        <v>26.35143</v>
      </c>
      <c r="G113" s="62" t="s">
        <v>191</v>
      </c>
      <c r="H113" s="63" t="s">
        <v>34</v>
      </c>
      <c r="I113" s="138">
        <v>1.0</v>
      </c>
      <c r="J113" s="79">
        <v>2.93</v>
      </c>
      <c r="K113" s="80" t="s">
        <v>188</v>
      </c>
      <c r="L113" s="66" t="s">
        <v>192</v>
      </c>
      <c r="M113" s="81">
        <v>4.0</v>
      </c>
      <c r="N113" s="150">
        <v>0.295</v>
      </c>
      <c r="O113" s="69">
        <v>2.871</v>
      </c>
      <c r="P113" s="151" t="s">
        <v>162</v>
      </c>
      <c r="Q113" s="143" t="s">
        <v>154</v>
      </c>
      <c r="R113" s="74" t="s">
        <v>179</v>
      </c>
      <c r="S113" s="145"/>
      <c r="T113" s="146">
        <f t="shared" si="14"/>
        <v>0</v>
      </c>
      <c r="U113" s="146"/>
      <c r="V113" s="147" t="s">
        <v>38</v>
      </c>
      <c r="W113" s="74" t="b">
        <v>1</v>
      </c>
      <c r="X113" s="74" t="b">
        <v>0</v>
      </c>
      <c r="Y113" s="74" t="b">
        <v>1</v>
      </c>
      <c r="Z113" s="148" t="str">
        <f>IFERROR(__xludf.DUMMYFUNCTION("""COMPUTED_VALUE"""),"#REF!")</f>
        <v>#REF!</v>
      </c>
      <c r="AA113" s="148" t="str">
        <f>IFERROR(__xludf.DUMMYFUNCTION("""COMPUTED_VALUE"""),"#REF!")</f>
        <v>#REF!</v>
      </c>
      <c r="AB113" s="148" t="str">
        <f>IFERROR(__xludf.DUMMYFUNCTION("""COMPUTED_VALUE"""),"#REF!")</f>
        <v>#REF!</v>
      </c>
      <c r="AC113" s="153">
        <v>46148.0</v>
      </c>
      <c r="AD113" s="148"/>
      <c r="AE113" s="148">
        <v>109853.0</v>
      </c>
      <c r="AF113" s="148" t="s">
        <v>193</v>
      </c>
      <c r="AG113" s="148"/>
      <c r="AH113" s="148" t="s">
        <v>191</v>
      </c>
      <c r="AI113" s="148" t="e">
        <v>#REF!</v>
      </c>
      <c r="AJ113" s="148" t="e">
        <v>#REF!</v>
      </c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</row>
    <row r="114" ht="14.25" customHeight="1">
      <c r="A114" s="152" t="s">
        <v>13</v>
      </c>
      <c r="B114" s="135" t="s">
        <v>169</v>
      </c>
      <c r="C114" s="77">
        <v>46148.0</v>
      </c>
      <c r="D114" s="136">
        <v>109854.0</v>
      </c>
      <c r="E114" s="60">
        <v>25.10258</v>
      </c>
      <c r="F114" s="60">
        <v>25.34959</v>
      </c>
      <c r="G114" s="62" t="s">
        <v>194</v>
      </c>
      <c r="H114" s="63" t="s">
        <v>34</v>
      </c>
      <c r="I114" s="138">
        <v>1.0</v>
      </c>
      <c r="J114" s="79">
        <v>3.57</v>
      </c>
      <c r="K114" s="80" t="s">
        <v>188</v>
      </c>
      <c r="L114" s="66" t="s">
        <v>195</v>
      </c>
      <c r="M114" s="81">
        <v>6.0</v>
      </c>
      <c r="N114" s="150">
        <v>0.202</v>
      </c>
      <c r="O114" s="69">
        <v>3.5296</v>
      </c>
      <c r="P114" s="151" t="s">
        <v>162</v>
      </c>
      <c r="Q114" s="143" t="s">
        <v>154</v>
      </c>
      <c r="R114" s="74" t="s">
        <v>179</v>
      </c>
      <c r="S114" s="145"/>
      <c r="T114" s="146">
        <f t="shared" si="14"/>
        <v>0</v>
      </c>
      <c r="U114" s="146"/>
      <c r="V114" s="147" t="s">
        <v>38</v>
      </c>
      <c r="W114" s="74" t="b">
        <v>1</v>
      </c>
      <c r="X114" s="74" t="b">
        <v>0</v>
      </c>
      <c r="Y114" s="74" t="b">
        <v>1</v>
      </c>
      <c r="Z114" s="148" t="str">
        <f>IFERROR(__xludf.DUMMYFUNCTION("""COMPUTED_VALUE"""),"#REF!")</f>
        <v>#REF!</v>
      </c>
      <c r="AA114" s="148" t="str">
        <f>IFERROR(__xludf.DUMMYFUNCTION("""COMPUTED_VALUE"""),"#REF!")</f>
        <v>#REF!</v>
      </c>
      <c r="AB114" s="148" t="str">
        <f>IFERROR(__xludf.DUMMYFUNCTION("""COMPUTED_VALUE"""),"#REF!")</f>
        <v>#REF!</v>
      </c>
      <c r="AC114" s="153">
        <v>46148.0</v>
      </c>
      <c r="AD114" s="148"/>
      <c r="AE114" s="148">
        <v>109854.0</v>
      </c>
      <c r="AF114" s="148" t="s">
        <v>196</v>
      </c>
      <c r="AG114" s="148"/>
      <c r="AH114" s="148" t="s">
        <v>194</v>
      </c>
      <c r="AI114" s="148" t="e">
        <v>#REF!</v>
      </c>
      <c r="AJ114" s="148" t="e">
        <v>#REF!</v>
      </c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</row>
    <row r="115" ht="14.25" customHeight="1">
      <c r="A115" s="152" t="s">
        <v>13</v>
      </c>
      <c r="B115" s="135" t="s">
        <v>169</v>
      </c>
      <c r="C115" s="77">
        <v>46148.0</v>
      </c>
      <c r="D115" s="136">
        <v>109855.0</v>
      </c>
      <c r="E115" s="60">
        <v>25.10258</v>
      </c>
      <c r="F115" s="60">
        <v>25.34957</v>
      </c>
      <c r="G115" s="62" t="s">
        <v>197</v>
      </c>
      <c r="H115" s="63" t="s">
        <v>34</v>
      </c>
      <c r="I115" s="138">
        <v>1.0</v>
      </c>
      <c r="J115" s="79">
        <v>3.32</v>
      </c>
      <c r="K115" s="80" t="s">
        <v>188</v>
      </c>
      <c r="L115" s="66" t="s">
        <v>198</v>
      </c>
      <c r="M115" s="81">
        <v>30.0</v>
      </c>
      <c r="N115" s="150">
        <v>0.486</v>
      </c>
      <c r="O115" s="69">
        <v>3.2228</v>
      </c>
      <c r="P115" s="151" t="s">
        <v>162</v>
      </c>
      <c r="Q115" s="143" t="s">
        <v>154</v>
      </c>
      <c r="R115" s="74" t="s">
        <v>179</v>
      </c>
      <c r="S115" s="145"/>
      <c r="T115" s="146">
        <f t="shared" si="14"/>
        <v>0</v>
      </c>
      <c r="U115" s="146"/>
      <c r="V115" s="147" t="s">
        <v>38</v>
      </c>
      <c r="W115" s="74" t="b">
        <v>1</v>
      </c>
      <c r="X115" s="74" t="b">
        <v>0</v>
      </c>
      <c r="Y115" s="74" t="b">
        <v>1</v>
      </c>
      <c r="Z115" s="148" t="str">
        <f>IFERROR(__xludf.DUMMYFUNCTION("""COMPUTED_VALUE"""),"#REF!")</f>
        <v>#REF!</v>
      </c>
      <c r="AA115" s="148" t="str">
        <f>IFERROR(__xludf.DUMMYFUNCTION("""COMPUTED_VALUE"""),"#REF!")</f>
        <v>#REF!</v>
      </c>
      <c r="AB115" s="148" t="str">
        <f>IFERROR(__xludf.DUMMYFUNCTION("""COMPUTED_VALUE"""),"#REF!")</f>
        <v>#REF!</v>
      </c>
      <c r="AC115" s="153">
        <v>46148.0</v>
      </c>
      <c r="AD115" s="148"/>
      <c r="AE115" s="148">
        <v>109855.0</v>
      </c>
      <c r="AF115" s="148" t="s">
        <v>199</v>
      </c>
      <c r="AG115" s="148"/>
      <c r="AH115" s="148" t="s">
        <v>197</v>
      </c>
      <c r="AI115" s="148" t="e">
        <v>#REF!</v>
      </c>
      <c r="AJ115" s="148" t="e">
        <v>#REF!</v>
      </c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</row>
    <row r="116" ht="14.25" customHeight="1">
      <c r="A116" s="152" t="s">
        <v>13</v>
      </c>
      <c r="B116" s="135" t="s">
        <v>169</v>
      </c>
      <c r="C116" s="77">
        <v>46148.0</v>
      </c>
      <c r="D116" s="136">
        <v>109856.0</v>
      </c>
      <c r="E116" s="60">
        <v>26.10565</v>
      </c>
      <c r="F116" s="60">
        <v>26.36023</v>
      </c>
      <c r="G116" s="62" t="s">
        <v>200</v>
      </c>
      <c r="H116" s="63" t="s">
        <v>34</v>
      </c>
      <c r="I116" s="138">
        <v>1.0</v>
      </c>
      <c r="J116" s="79">
        <v>4.74</v>
      </c>
      <c r="K116" s="80" t="s">
        <v>188</v>
      </c>
      <c r="L116" s="66" t="s">
        <v>201</v>
      </c>
      <c r="M116" s="81">
        <v>6.0</v>
      </c>
      <c r="N116" s="150">
        <v>0.34199999999999997</v>
      </c>
      <c r="O116" s="69">
        <v>4.671600000000001</v>
      </c>
      <c r="P116" s="151" t="s">
        <v>162</v>
      </c>
      <c r="Q116" s="143" t="s">
        <v>154</v>
      </c>
      <c r="R116" s="74" t="s">
        <v>179</v>
      </c>
      <c r="S116" s="145"/>
      <c r="T116" s="146">
        <f t="shared" si="14"/>
        <v>0</v>
      </c>
      <c r="U116" s="146"/>
      <c r="V116" s="147" t="s">
        <v>38</v>
      </c>
      <c r="W116" s="74" t="b">
        <v>1</v>
      </c>
      <c r="X116" s="74" t="b">
        <v>0</v>
      </c>
      <c r="Y116" s="74" t="b">
        <v>1</v>
      </c>
      <c r="Z116" s="148" t="str">
        <f>IFERROR(__xludf.DUMMYFUNCTION("""COMPUTED_VALUE"""),"#REF!")</f>
        <v>#REF!</v>
      </c>
      <c r="AA116" s="148" t="str">
        <f>IFERROR(__xludf.DUMMYFUNCTION("""COMPUTED_VALUE"""),"#REF!")</f>
        <v>#REF!</v>
      </c>
      <c r="AB116" s="148" t="str">
        <f>IFERROR(__xludf.DUMMYFUNCTION("""COMPUTED_VALUE"""),"#REF!")</f>
        <v>#REF!</v>
      </c>
      <c r="AC116" s="153">
        <v>46148.0</v>
      </c>
      <c r="AD116" s="148"/>
      <c r="AE116" s="148">
        <v>109856.0</v>
      </c>
      <c r="AF116" s="148" t="s">
        <v>202</v>
      </c>
      <c r="AG116" s="148"/>
      <c r="AH116" s="148" t="s">
        <v>200</v>
      </c>
      <c r="AI116" s="148" t="e">
        <v>#REF!</v>
      </c>
      <c r="AJ116" s="148" t="e">
        <v>#REF!</v>
      </c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</row>
    <row r="117" ht="14.25" customHeight="1">
      <c r="A117" s="152" t="s">
        <v>13</v>
      </c>
      <c r="B117" s="135" t="s">
        <v>169</v>
      </c>
      <c r="C117" s="77">
        <v>46148.0</v>
      </c>
      <c r="D117" s="136">
        <v>109857.0</v>
      </c>
      <c r="E117" s="60">
        <v>26.10565</v>
      </c>
      <c r="F117" s="60">
        <v>26.36025</v>
      </c>
      <c r="G117" s="62" t="s">
        <v>203</v>
      </c>
      <c r="H117" s="63" t="s">
        <v>34</v>
      </c>
      <c r="I117" s="138">
        <v>1.0</v>
      </c>
      <c r="J117" s="79">
        <v>4.84</v>
      </c>
      <c r="K117" s="80" t="s">
        <v>188</v>
      </c>
      <c r="L117" s="66" t="s">
        <v>204</v>
      </c>
      <c r="M117" s="81">
        <v>6.0</v>
      </c>
      <c r="N117" s="150">
        <v>0.334</v>
      </c>
      <c r="O117" s="69">
        <v>4.7732</v>
      </c>
      <c r="P117" s="151" t="s">
        <v>162</v>
      </c>
      <c r="Q117" s="143" t="s">
        <v>163</v>
      </c>
      <c r="R117" s="74"/>
      <c r="S117" s="145"/>
      <c r="T117" s="146">
        <f t="shared" si="14"/>
        <v>0</v>
      </c>
      <c r="U117" s="146"/>
      <c r="V117" s="147" t="s">
        <v>38</v>
      </c>
      <c r="W117" s="74" t="b">
        <v>1</v>
      </c>
      <c r="X117" s="74" t="b">
        <v>0</v>
      </c>
      <c r="Y117" s="74" t="b">
        <v>1</v>
      </c>
      <c r="Z117" s="148" t="str">
        <f>IFERROR(__xludf.DUMMYFUNCTION("""COMPUTED_VALUE"""),"#REF!")</f>
        <v>#REF!</v>
      </c>
      <c r="AA117" s="148" t="str">
        <f>IFERROR(__xludf.DUMMYFUNCTION("""COMPUTED_VALUE"""),"#REF!")</f>
        <v>#REF!</v>
      </c>
      <c r="AB117" s="148" t="str">
        <f>IFERROR(__xludf.DUMMYFUNCTION("""COMPUTED_VALUE"""),"#REF!")</f>
        <v>#REF!</v>
      </c>
      <c r="AC117" s="153">
        <v>46148.0</v>
      </c>
      <c r="AD117" s="148"/>
      <c r="AE117" s="148">
        <v>109857.0</v>
      </c>
      <c r="AF117" s="148" t="s">
        <v>205</v>
      </c>
      <c r="AG117" s="148"/>
      <c r="AH117" s="148" t="s">
        <v>203</v>
      </c>
      <c r="AI117" s="148" t="e">
        <v>#REF!</v>
      </c>
      <c r="AJ117" s="148" t="e">
        <v>#REF!</v>
      </c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</row>
    <row r="118" ht="14.25" customHeight="1">
      <c r="A118" s="152" t="s">
        <v>13</v>
      </c>
      <c r="B118" s="135" t="s">
        <v>206</v>
      </c>
      <c r="C118" s="77">
        <v>46150.0</v>
      </c>
      <c r="D118" s="136">
        <v>109858.0</v>
      </c>
      <c r="E118" s="60">
        <v>26.10687</v>
      </c>
      <c r="F118" s="60">
        <v>26.36376</v>
      </c>
      <c r="G118" s="62" t="s">
        <v>207</v>
      </c>
      <c r="H118" s="154" t="s">
        <v>208</v>
      </c>
      <c r="I118" s="138">
        <v>1.0</v>
      </c>
      <c r="J118" s="79">
        <v>4.34</v>
      </c>
      <c r="K118" s="80" t="s">
        <v>209</v>
      </c>
      <c r="L118" s="66" t="s">
        <v>210</v>
      </c>
      <c r="M118" s="81"/>
      <c r="N118" s="141"/>
      <c r="O118" s="69">
        <v>4.34</v>
      </c>
      <c r="P118" s="151" t="s">
        <v>153</v>
      </c>
      <c r="Q118" s="143" t="s">
        <v>154</v>
      </c>
      <c r="R118" s="144" t="s">
        <v>155</v>
      </c>
      <c r="S118" s="145"/>
      <c r="T118" s="146">
        <f t="shared" si="14"/>
        <v>0</v>
      </c>
      <c r="U118" s="146"/>
      <c r="V118" s="147" t="s">
        <v>38</v>
      </c>
      <c r="W118" s="74" t="b">
        <v>0</v>
      </c>
      <c r="X118" s="74" t="b">
        <v>0</v>
      </c>
      <c r="Y118" s="74" t="b">
        <v>1</v>
      </c>
      <c r="Z118" s="148" t="str">
        <f>IFERROR(__xludf.DUMMYFUNCTION("""COMPUTED_VALUE"""),"#REF!")</f>
        <v>#REF!</v>
      </c>
      <c r="AA118" s="148" t="str">
        <f>IFERROR(__xludf.DUMMYFUNCTION("""COMPUTED_VALUE"""),"#REF!")</f>
        <v>#REF!</v>
      </c>
      <c r="AB118" s="148" t="str">
        <f>IFERROR(__xludf.DUMMYFUNCTION("""COMPUTED_VALUE"""),"#REF!")</f>
        <v>#REF!</v>
      </c>
      <c r="AC118" s="153">
        <v>46150.0</v>
      </c>
      <c r="AD118" s="148"/>
      <c r="AE118" s="148">
        <v>109858.0</v>
      </c>
      <c r="AF118" s="148" t="s">
        <v>211</v>
      </c>
      <c r="AG118" s="148"/>
      <c r="AH118" s="148" t="s">
        <v>207</v>
      </c>
      <c r="AI118" s="148" t="e">
        <v>#REF!</v>
      </c>
      <c r="AJ118" s="148" t="e">
        <v>#REF!</v>
      </c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</row>
    <row r="119" ht="14.25" customHeight="1">
      <c r="A119" s="152" t="s">
        <v>13</v>
      </c>
      <c r="B119" s="135" t="s">
        <v>206</v>
      </c>
      <c r="C119" s="77">
        <v>46150.0</v>
      </c>
      <c r="D119" s="136">
        <v>109859.0</v>
      </c>
      <c r="E119" s="60">
        <v>26.10687</v>
      </c>
      <c r="F119" s="60">
        <v>26.36377</v>
      </c>
      <c r="G119" s="62" t="s">
        <v>212</v>
      </c>
      <c r="H119" s="154" t="s">
        <v>208</v>
      </c>
      <c r="I119" s="138">
        <v>1.0</v>
      </c>
      <c r="J119" s="79">
        <v>5.37</v>
      </c>
      <c r="K119" s="80" t="s">
        <v>209</v>
      </c>
      <c r="L119" s="66" t="s">
        <v>210</v>
      </c>
      <c r="M119" s="81"/>
      <c r="N119" s="141"/>
      <c r="O119" s="69">
        <v>5.37</v>
      </c>
      <c r="P119" s="151" t="s">
        <v>153</v>
      </c>
      <c r="Q119" s="143" t="s">
        <v>154</v>
      </c>
      <c r="R119" s="144" t="s">
        <v>155</v>
      </c>
      <c r="S119" s="145"/>
      <c r="T119" s="146">
        <f t="shared" si="14"/>
        <v>0</v>
      </c>
      <c r="U119" s="146"/>
      <c r="V119" s="147" t="s">
        <v>38</v>
      </c>
      <c r="W119" s="74" t="b">
        <v>0</v>
      </c>
      <c r="X119" s="74" t="b">
        <v>0</v>
      </c>
      <c r="Y119" s="74" t="b">
        <v>1</v>
      </c>
      <c r="Z119" s="148" t="str">
        <f>IFERROR(__xludf.DUMMYFUNCTION("""COMPUTED_VALUE"""),"#REF!")</f>
        <v>#REF!</v>
      </c>
      <c r="AA119" s="148" t="str">
        <f>IFERROR(__xludf.DUMMYFUNCTION("""COMPUTED_VALUE"""),"#REF!")</f>
        <v>#REF!</v>
      </c>
      <c r="AB119" s="148" t="str">
        <f>IFERROR(__xludf.DUMMYFUNCTION("""COMPUTED_VALUE"""),"#REF!")</f>
        <v>#REF!</v>
      </c>
      <c r="AC119" s="153">
        <v>46150.0</v>
      </c>
      <c r="AD119" s="148"/>
      <c r="AE119" s="148">
        <v>109859.0</v>
      </c>
      <c r="AF119" s="148" t="s">
        <v>213</v>
      </c>
      <c r="AG119" s="148"/>
      <c r="AH119" s="148" t="s">
        <v>212</v>
      </c>
      <c r="AI119" s="148" t="e">
        <v>#REF!</v>
      </c>
      <c r="AJ119" s="148" t="e">
        <v>#REF!</v>
      </c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</row>
    <row r="120" ht="14.25" customHeight="1">
      <c r="A120" s="152" t="s">
        <v>13</v>
      </c>
      <c r="B120" s="135" t="s">
        <v>206</v>
      </c>
      <c r="C120" s="77">
        <v>46150.0</v>
      </c>
      <c r="D120" s="136">
        <v>109860.0</v>
      </c>
      <c r="E120" s="60">
        <v>26.10628</v>
      </c>
      <c r="F120" s="60">
        <v>26.3616</v>
      </c>
      <c r="G120" s="62" t="s">
        <v>214</v>
      </c>
      <c r="H120" s="154" t="s">
        <v>106</v>
      </c>
      <c r="I120" s="138">
        <v>1.0</v>
      </c>
      <c r="J120" s="79">
        <v>5.1</v>
      </c>
      <c r="K120" s="80" t="s">
        <v>215</v>
      </c>
      <c r="L120" s="66" t="s">
        <v>216</v>
      </c>
      <c r="M120" s="81"/>
      <c r="N120" s="141"/>
      <c r="O120" s="69">
        <v>5.1</v>
      </c>
      <c r="P120" s="151" t="s">
        <v>153</v>
      </c>
      <c r="Q120" s="143" t="s">
        <v>154</v>
      </c>
      <c r="R120" s="144" t="s">
        <v>155</v>
      </c>
      <c r="S120" s="145"/>
      <c r="T120" s="146">
        <f t="shared" si="14"/>
        <v>0</v>
      </c>
      <c r="U120" s="146"/>
      <c r="V120" s="147" t="s">
        <v>38</v>
      </c>
      <c r="W120" s="74" t="b">
        <v>0</v>
      </c>
      <c r="X120" s="74" t="b">
        <v>0</v>
      </c>
      <c r="Y120" s="74" t="b">
        <v>1</v>
      </c>
      <c r="Z120" s="148" t="str">
        <f>IFERROR(__xludf.DUMMYFUNCTION("""COMPUTED_VALUE"""),"#REF!")</f>
        <v>#REF!</v>
      </c>
      <c r="AA120" s="148" t="str">
        <f>IFERROR(__xludf.DUMMYFUNCTION("""COMPUTED_VALUE"""),"#REF!")</f>
        <v>#REF!</v>
      </c>
      <c r="AB120" s="148" t="str">
        <f>IFERROR(__xludf.DUMMYFUNCTION("""COMPUTED_VALUE"""),"#REF!")</f>
        <v>#REF!</v>
      </c>
      <c r="AC120" s="153">
        <v>46150.0</v>
      </c>
      <c r="AD120" s="148"/>
      <c r="AE120" s="148">
        <v>109860.0</v>
      </c>
      <c r="AF120" s="148" t="s">
        <v>217</v>
      </c>
      <c r="AG120" s="148"/>
      <c r="AH120" s="148" t="s">
        <v>214</v>
      </c>
      <c r="AI120" s="148" t="e">
        <v>#REF!</v>
      </c>
      <c r="AJ120" s="148" t="e">
        <v>#REF!</v>
      </c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</row>
    <row r="121" ht="14.25" customHeight="1">
      <c r="A121" s="152" t="s">
        <v>13</v>
      </c>
      <c r="B121" s="135" t="s">
        <v>206</v>
      </c>
      <c r="C121" s="77">
        <v>46150.0</v>
      </c>
      <c r="D121" s="136">
        <v>109861.0</v>
      </c>
      <c r="E121" s="60">
        <v>26.10479</v>
      </c>
      <c r="F121" s="60">
        <v>26.35647</v>
      </c>
      <c r="G121" s="62" t="s">
        <v>218</v>
      </c>
      <c r="H121" s="154" t="s">
        <v>106</v>
      </c>
      <c r="I121" s="138">
        <v>1.0</v>
      </c>
      <c r="J121" s="79">
        <v>11.08</v>
      </c>
      <c r="K121" s="80" t="s">
        <v>87</v>
      </c>
      <c r="L121" s="66" t="s">
        <v>219</v>
      </c>
      <c r="M121" s="81">
        <v>7.0</v>
      </c>
      <c r="N121" s="141">
        <v>0.367</v>
      </c>
      <c r="O121" s="69">
        <v>11.0066</v>
      </c>
      <c r="P121" s="151" t="s">
        <v>153</v>
      </c>
      <c r="Q121" s="143" t="s">
        <v>154</v>
      </c>
      <c r="R121" s="144" t="s">
        <v>155</v>
      </c>
      <c r="S121" s="145"/>
      <c r="T121" s="146">
        <f t="shared" si="14"/>
        <v>0</v>
      </c>
      <c r="U121" s="146"/>
      <c r="V121" s="147" t="s">
        <v>38</v>
      </c>
      <c r="W121" s="74" t="b">
        <v>1</v>
      </c>
      <c r="X121" s="74" t="b">
        <v>0</v>
      </c>
      <c r="Y121" s="74" t="b">
        <v>1</v>
      </c>
      <c r="Z121" s="148" t="str">
        <f>IFERROR(__xludf.DUMMYFUNCTION("""COMPUTED_VALUE"""),"#REF!")</f>
        <v>#REF!</v>
      </c>
      <c r="AA121" s="148" t="str">
        <f>IFERROR(__xludf.DUMMYFUNCTION("""COMPUTED_VALUE"""),"#REF!")</f>
        <v>#REF!</v>
      </c>
      <c r="AB121" s="148" t="str">
        <f>IFERROR(__xludf.DUMMYFUNCTION("""COMPUTED_VALUE"""),"#REF!")</f>
        <v>#REF!</v>
      </c>
      <c r="AC121" s="153">
        <v>46150.0</v>
      </c>
      <c r="AD121" s="148"/>
      <c r="AE121" s="148">
        <v>109861.0</v>
      </c>
      <c r="AF121" s="148" t="s">
        <v>220</v>
      </c>
      <c r="AG121" s="148"/>
      <c r="AH121" s="148" t="s">
        <v>218</v>
      </c>
      <c r="AI121" s="148" t="e">
        <v>#REF!</v>
      </c>
      <c r="AJ121" s="148" t="e">
        <v>#REF!</v>
      </c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</row>
    <row r="122" ht="14.25" customHeight="1">
      <c r="A122" s="152" t="s">
        <v>13</v>
      </c>
      <c r="B122" s="135" t="s">
        <v>206</v>
      </c>
      <c r="C122" s="77">
        <v>46150.0</v>
      </c>
      <c r="D122" s="136">
        <v>109862.0</v>
      </c>
      <c r="E122" s="60">
        <v>26.10572</v>
      </c>
      <c r="F122" s="60">
        <v>26.36003</v>
      </c>
      <c r="G122" s="62" t="s">
        <v>221</v>
      </c>
      <c r="H122" s="63" t="s">
        <v>45</v>
      </c>
      <c r="I122" s="138">
        <v>1.0</v>
      </c>
      <c r="J122" s="79">
        <v>3.3</v>
      </c>
      <c r="K122" s="80" t="s">
        <v>46</v>
      </c>
      <c r="L122" s="66" t="s">
        <v>222</v>
      </c>
      <c r="M122" s="81">
        <v>26.0</v>
      </c>
      <c r="N122" s="141">
        <v>0.297</v>
      </c>
      <c r="O122" s="69">
        <v>3.2405999999999997</v>
      </c>
      <c r="P122" s="151" t="s">
        <v>153</v>
      </c>
      <c r="Q122" s="143" t="s">
        <v>154</v>
      </c>
      <c r="R122" s="144" t="s">
        <v>155</v>
      </c>
      <c r="S122" s="145"/>
      <c r="T122" s="146">
        <f t="shared" si="14"/>
        <v>0</v>
      </c>
      <c r="U122" s="146"/>
      <c r="V122" s="147" t="s">
        <v>38</v>
      </c>
      <c r="W122" s="74" t="b">
        <v>1</v>
      </c>
      <c r="X122" s="74" t="b">
        <v>0</v>
      </c>
      <c r="Y122" s="74" t="b">
        <v>1</v>
      </c>
      <c r="Z122" s="148" t="str">
        <f>IFERROR(__xludf.DUMMYFUNCTION("""COMPUTED_VALUE"""),"#REF!")</f>
        <v>#REF!</v>
      </c>
      <c r="AA122" s="148" t="str">
        <f>IFERROR(__xludf.DUMMYFUNCTION("""COMPUTED_VALUE"""),"#REF!")</f>
        <v>#REF!</v>
      </c>
      <c r="AB122" s="148" t="str">
        <f>IFERROR(__xludf.DUMMYFUNCTION("""COMPUTED_VALUE"""),"#REF!")</f>
        <v>#REF!</v>
      </c>
      <c r="AC122" s="153">
        <v>46150.0</v>
      </c>
      <c r="AD122" s="148"/>
      <c r="AE122" s="148">
        <v>109862.0</v>
      </c>
      <c r="AF122" s="148" t="s">
        <v>223</v>
      </c>
      <c r="AG122" s="148"/>
      <c r="AH122" s="148" t="s">
        <v>221</v>
      </c>
      <c r="AI122" s="148" t="e">
        <v>#REF!</v>
      </c>
      <c r="AJ122" s="148" t="e">
        <v>#REF!</v>
      </c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</row>
    <row r="123" ht="14.25" customHeight="1">
      <c r="A123" s="152" t="s">
        <v>13</v>
      </c>
      <c r="B123" s="135" t="s">
        <v>206</v>
      </c>
      <c r="C123" s="77">
        <v>46150.0</v>
      </c>
      <c r="D123" s="136">
        <v>109863.0</v>
      </c>
      <c r="E123" s="60">
        <v>26.10572</v>
      </c>
      <c r="F123" s="60">
        <v>26.36005</v>
      </c>
      <c r="G123" s="62" t="s">
        <v>224</v>
      </c>
      <c r="H123" s="63" t="s">
        <v>45</v>
      </c>
      <c r="I123" s="138">
        <v>1.0</v>
      </c>
      <c r="J123" s="79">
        <v>2.5</v>
      </c>
      <c r="K123" s="80" t="s">
        <v>87</v>
      </c>
      <c r="L123" s="66" t="s">
        <v>225</v>
      </c>
      <c r="M123" s="81">
        <v>39.0</v>
      </c>
      <c r="N123" s="141">
        <v>0.185</v>
      </c>
      <c r="O123" s="69">
        <v>2.463</v>
      </c>
      <c r="P123" s="151" t="s">
        <v>153</v>
      </c>
      <c r="Q123" s="143" t="s">
        <v>154</v>
      </c>
      <c r="R123" s="144" t="s">
        <v>155</v>
      </c>
      <c r="S123" s="145"/>
      <c r="T123" s="146">
        <f t="shared" si="14"/>
        <v>0</v>
      </c>
      <c r="U123" s="146"/>
      <c r="V123" s="147" t="s">
        <v>38</v>
      </c>
      <c r="W123" s="74" t="b">
        <v>1</v>
      </c>
      <c r="X123" s="74" t="b">
        <v>0</v>
      </c>
      <c r="Y123" s="74" t="b">
        <v>1</v>
      </c>
      <c r="Z123" s="148" t="str">
        <f>IFERROR(__xludf.DUMMYFUNCTION("""COMPUTED_VALUE"""),"#REF!")</f>
        <v>#REF!</v>
      </c>
      <c r="AA123" s="148" t="str">
        <f>IFERROR(__xludf.DUMMYFUNCTION("""COMPUTED_VALUE"""),"#REF!")</f>
        <v>#REF!</v>
      </c>
      <c r="AB123" s="148" t="str">
        <f>IFERROR(__xludf.DUMMYFUNCTION("""COMPUTED_VALUE"""),"#REF!")</f>
        <v>#REF!</v>
      </c>
      <c r="AC123" s="153">
        <v>46150.0</v>
      </c>
      <c r="AD123" s="148"/>
      <c r="AE123" s="148">
        <v>109863.0</v>
      </c>
      <c r="AF123" s="148" t="s">
        <v>226</v>
      </c>
      <c r="AG123" s="148"/>
      <c r="AH123" s="148" t="s">
        <v>224</v>
      </c>
      <c r="AI123" s="148" t="e">
        <v>#REF!</v>
      </c>
      <c r="AJ123" s="148" t="e">
        <v>#REF!</v>
      </c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</row>
    <row r="124" ht="14.25" customHeight="1">
      <c r="A124" s="152" t="s">
        <v>13</v>
      </c>
      <c r="B124" s="135" t="s">
        <v>206</v>
      </c>
      <c r="C124" s="77">
        <v>46150.0</v>
      </c>
      <c r="D124" s="136">
        <v>109864.0</v>
      </c>
      <c r="E124" s="60">
        <v>26.10703</v>
      </c>
      <c r="F124" s="60">
        <v>26.36408</v>
      </c>
      <c r="G124" s="62" t="s">
        <v>227</v>
      </c>
      <c r="H124" s="63" t="s">
        <v>62</v>
      </c>
      <c r="I124" s="138">
        <v>1.0</v>
      </c>
      <c r="J124" s="79">
        <v>3.55</v>
      </c>
      <c r="K124" s="80" t="s">
        <v>46</v>
      </c>
      <c r="L124" s="66" t="s">
        <v>228</v>
      </c>
      <c r="M124" s="81">
        <v>10.0</v>
      </c>
      <c r="N124" s="141">
        <v>0.338</v>
      </c>
      <c r="O124" s="69">
        <v>3.4823999999999997</v>
      </c>
      <c r="P124" s="151" t="s">
        <v>153</v>
      </c>
      <c r="Q124" s="143" t="s">
        <v>154</v>
      </c>
      <c r="R124" s="144" t="s">
        <v>155</v>
      </c>
      <c r="S124" s="145"/>
      <c r="T124" s="146">
        <f t="shared" si="14"/>
        <v>0</v>
      </c>
      <c r="U124" s="146"/>
      <c r="V124" s="147" t="s">
        <v>38</v>
      </c>
      <c r="W124" s="74" t="b">
        <v>1</v>
      </c>
      <c r="X124" s="74" t="b">
        <v>0</v>
      </c>
      <c r="Y124" s="74" t="b">
        <v>1</v>
      </c>
      <c r="Z124" s="148" t="str">
        <f>IFERROR(__xludf.DUMMYFUNCTION("""COMPUTED_VALUE"""),"#REF!")</f>
        <v>#REF!</v>
      </c>
      <c r="AA124" s="148" t="str">
        <f>IFERROR(__xludf.DUMMYFUNCTION("""COMPUTED_VALUE"""),"#REF!")</f>
        <v>#REF!</v>
      </c>
      <c r="AB124" s="148" t="str">
        <f>IFERROR(__xludf.DUMMYFUNCTION("""COMPUTED_VALUE"""),"#REF!")</f>
        <v>#REF!</v>
      </c>
      <c r="AC124" s="153">
        <v>46150.0</v>
      </c>
      <c r="AD124" s="148"/>
      <c r="AE124" s="148">
        <v>109864.0</v>
      </c>
      <c r="AF124" s="148" t="s">
        <v>229</v>
      </c>
      <c r="AG124" s="148"/>
      <c r="AH124" s="148" t="s">
        <v>227</v>
      </c>
      <c r="AI124" s="148" t="e">
        <v>#REF!</v>
      </c>
      <c r="AJ124" s="148" t="e">
        <v>#REF!</v>
      </c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</row>
    <row r="125" ht="14.25" customHeight="1">
      <c r="A125" s="134" t="s">
        <v>13</v>
      </c>
      <c r="B125" s="135" t="s">
        <v>230</v>
      </c>
      <c r="C125" s="58">
        <v>46151.0</v>
      </c>
      <c r="D125" s="136"/>
      <c r="E125" s="60" t="s">
        <v>231</v>
      </c>
      <c r="F125" s="60"/>
      <c r="G125" s="62" t="s">
        <v>232</v>
      </c>
      <c r="H125" s="63" t="s">
        <v>76</v>
      </c>
      <c r="I125" s="138">
        <v>6.0</v>
      </c>
      <c r="J125" s="63">
        <v>47.91</v>
      </c>
      <c r="K125" s="65" t="s">
        <v>160</v>
      </c>
      <c r="L125" s="66" t="s">
        <v>233</v>
      </c>
      <c r="M125" s="81"/>
      <c r="N125" s="141"/>
      <c r="O125" s="69">
        <f>J125-(N125*0.2)</f>
        <v>47.91</v>
      </c>
      <c r="P125" s="142" t="s">
        <v>162</v>
      </c>
      <c r="Q125" s="143" t="s">
        <v>163</v>
      </c>
      <c r="R125" s="74"/>
      <c r="S125" s="145"/>
      <c r="T125" s="146">
        <f t="shared" si="14"/>
        <v>0</v>
      </c>
      <c r="U125" s="146"/>
      <c r="V125" s="147" t="s">
        <v>84</v>
      </c>
      <c r="W125" s="74" t="b">
        <v>0</v>
      </c>
      <c r="X125" s="74" t="b">
        <v>0</v>
      </c>
      <c r="Y125" s="74" t="b">
        <v>1</v>
      </c>
      <c r="Z125" s="148" t="str">
        <f>IFERROR(__xludf.DUMMYFUNCTION("""COMPUTED_VALUE"""),"#REF!")</f>
        <v>#REF!</v>
      </c>
      <c r="AA125" s="148" t="str">
        <f>IFERROR(__xludf.DUMMYFUNCTION("""COMPUTED_VALUE"""),"#REF!")</f>
        <v>#REF!</v>
      </c>
      <c r="AB125" s="148" t="str">
        <f>IFERROR(__xludf.DUMMYFUNCTION("""COMPUTED_VALUE"""),"#REF!")</f>
        <v>#REF!</v>
      </c>
      <c r="AC125" s="149">
        <v>46151.0</v>
      </c>
      <c r="AD125" s="148"/>
      <c r="AE125" s="148"/>
      <c r="AF125" s="148" t="s">
        <v>234</v>
      </c>
      <c r="AG125" s="148"/>
      <c r="AH125" s="148" t="s">
        <v>232</v>
      </c>
      <c r="AI125" s="148" t="e">
        <v>#REF!</v>
      </c>
      <c r="AJ125" s="148" t="e">
        <v>#REF!</v>
      </c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</row>
    <row r="126" ht="14.25" customHeight="1">
      <c r="A126" s="152" t="s">
        <v>13</v>
      </c>
      <c r="B126" s="135" t="s">
        <v>235</v>
      </c>
      <c r="C126" s="77">
        <v>46151.0</v>
      </c>
      <c r="D126" s="136">
        <v>109865.0</v>
      </c>
      <c r="E126" s="60">
        <v>26.10444</v>
      </c>
      <c r="F126" s="60">
        <v>26.36466</v>
      </c>
      <c r="G126" s="62" t="s">
        <v>236</v>
      </c>
      <c r="H126" s="154" t="s">
        <v>106</v>
      </c>
      <c r="I126" s="155">
        <v>1.0</v>
      </c>
      <c r="J126" s="85">
        <v>3.1</v>
      </c>
      <c r="K126" s="80" t="s">
        <v>57</v>
      </c>
      <c r="L126" s="66" t="s">
        <v>237</v>
      </c>
      <c r="M126" s="156"/>
      <c r="N126" s="150"/>
      <c r="O126" s="87">
        <v>3.1</v>
      </c>
      <c r="P126" s="142" t="s">
        <v>238</v>
      </c>
      <c r="Q126" s="143" t="s">
        <v>154</v>
      </c>
      <c r="R126" s="144" t="s">
        <v>155</v>
      </c>
      <c r="S126" s="145"/>
      <c r="T126" s="146">
        <f t="shared" si="14"/>
        <v>0</v>
      </c>
      <c r="U126" s="146"/>
      <c r="V126" s="147" t="s">
        <v>38</v>
      </c>
      <c r="W126" s="74" t="b">
        <v>0</v>
      </c>
      <c r="X126" s="74" t="b">
        <v>0</v>
      </c>
      <c r="Y126" s="74" t="b">
        <v>1</v>
      </c>
      <c r="Z126" s="148" t="str">
        <f>IFERROR(__xludf.DUMMYFUNCTION("""COMPUTED_VALUE"""),"#REF!")</f>
        <v>#REF!</v>
      </c>
      <c r="AA126" s="148" t="str">
        <f>IFERROR(__xludf.DUMMYFUNCTION("""COMPUTED_VALUE"""),"#REF!")</f>
        <v>#REF!</v>
      </c>
      <c r="AB126" s="148" t="str">
        <f>IFERROR(__xludf.DUMMYFUNCTION("""COMPUTED_VALUE"""),"#REF!")</f>
        <v>#REF!</v>
      </c>
      <c r="AC126" s="153">
        <v>46151.0</v>
      </c>
      <c r="AD126" s="148"/>
      <c r="AE126" s="148">
        <v>109865.0</v>
      </c>
      <c r="AF126" s="148" t="s">
        <v>239</v>
      </c>
      <c r="AG126" s="148"/>
      <c r="AH126" s="148" t="s">
        <v>236</v>
      </c>
      <c r="AI126" s="148" t="e">
        <v>#REF!</v>
      </c>
      <c r="AJ126" s="148" t="e">
        <v>#REF!</v>
      </c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</row>
    <row r="127" ht="14.25" customHeight="1">
      <c r="A127" s="152" t="s">
        <v>13</v>
      </c>
      <c r="B127" s="135" t="s">
        <v>235</v>
      </c>
      <c r="C127" s="77">
        <v>46151.0</v>
      </c>
      <c r="D127" s="136">
        <v>109866.0</v>
      </c>
      <c r="E127" s="60">
        <v>26.10695</v>
      </c>
      <c r="F127" s="60">
        <v>26.36389</v>
      </c>
      <c r="G127" s="62" t="s">
        <v>240</v>
      </c>
      <c r="H127" s="63" t="s">
        <v>34</v>
      </c>
      <c r="I127" s="155">
        <v>1.0</v>
      </c>
      <c r="J127" s="85">
        <v>3.52</v>
      </c>
      <c r="K127" s="80" t="s">
        <v>177</v>
      </c>
      <c r="L127" s="66" t="s">
        <v>241</v>
      </c>
      <c r="M127" s="156"/>
      <c r="N127" s="150"/>
      <c r="O127" s="87">
        <v>3.52</v>
      </c>
      <c r="P127" s="151" t="s">
        <v>153</v>
      </c>
      <c r="Q127" s="143" t="s">
        <v>154</v>
      </c>
      <c r="R127" s="144" t="s">
        <v>155</v>
      </c>
      <c r="S127" s="145"/>
      <c r="T127" s="146">
        <f t="shared" si="14"/>
        <v>0</v>
      </c>
      <c r="U127" s="146"/>
      <c r="V127" s="147" t="s">
        <v>38</v>
      </c>
      <c r="W127" s="74" t="b">
        <v>0</v>
      </c>
      <c r="X127" s="74" t="b">
        <v>0</v>
      </c>
      <c r="Y127" s="74" t="b">
        <v>1</v>
      </c>
      <c r="Z127" s="148" t="str">
        <f>IFERROR(__xludf.DUMMYFUNCTION("""COMPUTED_VALUE"""),"#REF!")</f>
        <v>#REF!</v>
      </c>
      <c r="AA127" s="148" t="str">
        <f>IFERROR(__xludf.DUMMYFUNCTION("""COMPUTED_VALUE"""),"#REF!")</f>
        <v>#REF!</v>
      </c>
      <c r="AB127" s="148" t="str">
        <f>IFERROR(__xludf.DUMMYFUNCTION("""COMPUTED_VALUE"""),"#REF!")</f>
        <v>#REF!</v>
      </c>
      <c r="AC127" s="153">
        <v>46151.0</v>
      </c>
      <c r="AD127" s="148"/>
      <c r="AE127" s="148">
        <v>109866.0</v>
      </c>
      <c r="AF127" s="148" t="s">
        <v>242</v>
      </c>
      <c r="AG127" s="148"/>
      <c r="AH127" s="148" t="s">
        <v>240</v>
      </c>
      <c r="AI127" s="148" t="e">
        <v>#REF!</v>
      </c>
      <c r="AJ127" s="148" t="e">
        <v>#REF!</v>
      </c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</row>
    <row r="128" ht="14.25" customHeight="1">
      <c r="A128" s="152" t="s">
        <v>13</v>
      </c>
      <c r="B128" s="135" t="s">
        <v>235</v>
      </c>
      <c r="C128" s="77">
        <v>46151.0</v>
      </c>
      <c r="D128" s="136">
        <v>109867.0</v>
      </c>
      <c r="E128" s="60">
        <v>26.10436</v>
      </c>
      <c r="F128" s="60">
        <v>26.35616</v>
      </c>
      <c r="G128" s="62" t="s">
        <v>243</v>
      </c>
      <c r="H128" s="154" t="s">
        <v>208</v>
      </c>
      <c r="I128" s="155">
        <v>1.0</v>
      </c>
      <c r="J128" s="85">
        <v>5.17</v>
      </c>
      <c r="K128" s="80" t="s">
        <v>244</v>
      </c>
      <c r="L128" s="66" t="s">
        <v>245</v>
      </c>
      <c r="M128" s="156"/>
      <c r="N128" s="150"/>
      <c r="O128" s="87">
        <v>5.17</v>
      </c>
      <c r="P128" s="151" t="s">
        <v>153</v>
      </c>
      <c r="Q128" s="143" t="s">
        <v>154</v>
      </c>
      <c r="R128" s="144" t="s">
        <v>155</v>
      </c>
      <c r="S128" s="145"/>
      <c r="T128" s="146">
        <f t="shared" si="14"/>
        <v>0</v>
      </c>
      <c r="U128" s="146"/>
      <c r="V128" s="147" t="s">
        <v>38</v>
      </c>
      <c r="W128" s="74" t="b">
        <v>0</v>
      </c>
      <c r="X128" s="74" t="b">
        <v>0</v>
      </c>
      <c r="Y128" s="74" t="b">
        <v>1</v>
      </c>
      <c r="Z128" s="148" t="str">
        <f>IFERROR(__xludf.DUMMYFUNCTION("""COMPUTED_VALUE"""),"#REF!")</f>
        <v>#REF!</v>
      </c>
      <c r="AA128" s="148" t="str">
        <f>IFERROR(__xludf.DUMMYFUNCTION("""COMPUTED_VALUE"""),"#REF!")</f>
        <v>#REF!</v>
      </c>
      <c r="AB128" s="148" t="str">
        <f>IFERROR(__xludf.DUMMYFUNCTION("""COMPUTED_VALUE"""),"#REF!")</f>
        <v>#REF!</v>
      </c>
      <c r="AC128" s="153">
        <v>46151.0</v>
      </c>
      <c r="AD128" s="148"/>
      <c r="AE128" s="148">
        <v>109867.0</v>
      </c>
      <c r="AF128" s="148" t="s">
        <v>246</v>
      </c>
      <c r="AG128" s="148"/>
      <c r="AH128" s="148" t="s">
        <v>243</v>
      </c>
      <c r="AI128" s="148" t="e">
        <v>#REF!</v>
      </c>
      <c r="AJ128" s="148" t="e">
        <v>#REF!</v>
      </c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</row>
    <row r="129" ht="14.25" customHeight="1">
      <c r="A129" s="152" t="s">
        <v>13</v>
      </c>
      <c r="B129" s="135" t="s">
        <v>235</v>
      </c>
      <c r="C129" s="77">
        <v>46151.0</v>
      </c>
      <c r="D129" s="136">
        <v>109868.0</v>
      </c>
      <c r="E129" s="60">
        <v>25.981</v>
      </c>
      <c r="F129" s="60">
        <v>25.33563</v>
      </c>
      <c r="G129" s="62" t="s">
        <v>247</v>
      </c>
      <c r="H129" s="154" t="s">
        <v>208</v>
      </c>
      <c r="I129" s="155">
        <v>1.0</v>
      </c>
      <c r="J129" s="85">
        <v>5.31</v>
      </c>
      <c r="K129" s="80" t="s">
        <v>188</v>
      </c>
      <c r="L129" s="66" t="s">
        <v>248</v>
      </c>
      <c r="M129" s="156">
        <v>38.0</v>
      </c>
      <c r="N129" s="150">
        <v>0.504</v>
      </c>
      <c r="O129" s="87">
        <v>5.209199999999999</v>
      </c>
      <c r="P129" s="151" t="s">
        <v>153</v>
      </c>
      <c r="Q129" s="143" t="s">
        <v>154</v>
      </c>
      <c r="R129" s="144" t="s">
        <v>155</v>
      </c>
      <c r="S129" s="145"/>
      <c r="T129" s="146">
        <f t="shared" si="14"/>
        <v>0</v>
      </c>
      <c r="U129" s="146"/>
      <c r="V129" s="147" t="s">
        <v>38</v>
      </c>
      <c r="W129" s="74" t="b">
        <v>1</v>
      </c>
      <c r="X129" s="74" t="b">
        <v>0</v>
      </c>
      <c r="Y129" s="74" t="b">
        <v>1</v>
      </c>
      <c r="Z129" s="148" t="str">
        <f>IFERROR(__xludf.DUMMYFUNCTION("""COMPUTED_VALUE"""),"#REF!")</f>
        <v>#REF!</v>
      </c>
      <c r="AA129" s="148" t="str">
        <f>IFERROR(__xludf.DUMMYFUNCTION("""COMPUTED_VALUE"""),"#REF!")</f>
        <v>#REF!</v>
      </c>
      <c r="AB129" s="148" t="str">
        <f>IFERROR(__xludf.DUMMYFUNCTION("""COMPUTED_VALUE"""),"#REF!")</f>
        <v>#REF!</v>
      </c>
      <c r="AC129" s="153">
        <v>46151.0</v>
      </c>
      <c r="AD129" s="148"/>
      <c r="AE129" s="148">
        <v>109868.0</v>
      </c>
      <c r="AF129" s="148" t="s">
        <v>249</v>
      </c>
      <c r="AG129" s="148"/>
      <c r="AH129" s="148" t="s">
        <v>247</v>
      </c>
      <c r="AI129" s="148" t="e">
        <v>#REF!</v>
      </c>
      <c r="AJ129" s="148" t="e">
        <v>#REF!</v>
      </c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</row>
    <row r="130" ht="14.25" customHeight="1">
      <c r="A130" s="152" t="s">
        <v>13</v>
      </c>
      <c r="B130" s="135" t="s">
        <v>250</v>
      </c>
      <c r="C130" s="77">
        <v>46153.0</v>
      </c>
      <c r="D130" s="136">
        <v>109869.0</v>
      </c>
      <c r="E130" s="60">
        <v>26.10639</v>
      </c>
      <c r="F130" s="60">
        <v>26.36179</v>
      </c>
      <c r="G130" s="62" t="s">
        <v>251</v>
      </c>
      <c r="H130" s="63" t="s">
        <v>62</v>
      </c>
      <c r="I130" s="155">
        <v>1.0</v>
      </c>
      <c r="J130" s="85">
        <v>5.17</v>
      </c>
      <c r="K130" s="80" t="s">
        <v>46</v>
      </c>
      <c r="L130" s="66" t="s">
        <v>252</v>
      </c>
      <c r="M130" s="156">
        <v>20.0</v>
      </c>
      <c r="N130" s="150">
        <v>1.5130000000000001</v>
      </c>
      <c r="O130" s="87">
        <v>4.8674</v>
      </c>
      <c r="P130" s="151" t="s">
        <v>153</v>
      </c>
      <c r="Q130" s="143" t="s">
        <v>154</v>
      </c>
      <c r="R130" s="74" t="s">
        <v>253</v>
      </c>
      <c r="S130" s="145"/>
      <c r="T130" s="146">
        <f t="shared" si="14"/>
        <v>0</v>
      </c>
      <c r="U130" s="146"/>
      <c r="V130" s="147" t="s">
        <v>38</v>
      </c>
      <c r="W130" s="74" t="b">
        <v>1</v>
      </c>
      <c r="X130" s="74" t="b">
        <v>0</v>
      </c>
      <c r="Y130" s="74" t="b">
        <v>1</v>
      </c>
      <c r="Z130" s="148" t="str">
        <f>IFERROR(__xludf.DUMMYFUNCTION("""COMPUTED_VALUE"""),"#REF!")</f>
        <v>#REF!</v>
      </c>
      <c r="AA130" s="148" t="str">
        <f>IFERROR(__xludf.DUMMYFUNCTION("""COMPUTED_VALUE"""),"#REF!")</f>
        <v>#REF!</v>
      </c>
      <c r="AB130" s="148" t="str">
        <f>IFERROR(__xludf.DUMMYFUNCTION("""COMPUTED_VALUE"""),"#REF!")</f>
        <v>#REF!</v>
      </c>
      <c r="AC130" s="153">
        <v>46153.0</v>
      </c>
      <c r="AD130" s="148"/>
      <c r="AE130" s="148">
        <v>109869.0</v>
      </c>
      <c r="AF130" s="148" t="s">
        <v>254</v>
      </c>
      <c r="AG130" s="148"/>
      <c r="AH130" s="148" t="s">
        <v>251</v>
      </c>
      <c r="AI130" s="148" t="e">
        <v>#REF!</v>
      </c>
      <c r="AJ130" s="148" t="e">
        <v>#REF!</v>
      </c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</row>
    <row r="131" ht="14.25" customHeight="1">
      <c r="A131" s="152" t="s">
        <v>13</v>
      </c>
      <c r="B131" s="135" t="s">
        <v>73</v>
      </c>
      <c r="C131" s="58">
        <v>46154.0</v>
      </c>
      <c r="D131" s="136"/>
      <c r="E131" s="60" t="s">
        <v>255</v>
      </c>
      <c r="F131" s="60"/>
      <c r="G131" s="62" t="s">
        <v>256</v>
      </c>
      <c r="H131" s="63" t="s">
        <v>76</v>
      </c>
      <c r="I131" s="138">
        <v>3.0</v>
      </c>
      <c r="J131" s="63">
        <v>43.1</v>
      </c>
      <c r="K131" s="65" t="s">
        <v>77</v>
      </c>
      <c r="L131" s="66" t="s">
        <v>257</v>
      </c>
      <c r="M131" s="81"/>
      <c r="N131" s="141"/>
      <c r="O131" s="69">
        <f t="shared" ref="O131:O132" si="15">J131-(N131*0.2)</f>
        <v>43.1</v>
      </c>
      <c r="P131" s="142" t="s">
        <v>162</v>
      </c>
      <c r="Q131" s="143" t="s">
        <v>163</v>
      </c>
      <c r="R131" s="74"/>
      <c r="S131" s="145"/>
      <c r="T131" s="146">
        <f t="shared" si="14"/>
        <v>0</v>
      </c>
      <c r="U131" s="146"/>
      <c r="V131" s="147" t="s">
        <v>38</v>
      </c>
      <c r="W131" s="74" t="b">
        <v>0</v>
      </c>
      <c r="X131" s="74" t="b">
        <v>0</v>
      </c>
      <c r="Y131" s="74" t="b">
        <v>1</v>
      </c>
      <c r="Z131" s="148" t="str">
        <f>IFERROR(__xludf.DUMMYFUNCTION("""COMPUTED_VALUE"""),"#REF!")</f>
        <v>#REF!</v>
      </c>
      <c r="AA131" s="148" t="str">
        <f>IFERROR(__xludf.DUMMYFUNCTION("""COMPUTED_VALUE"""),"#REF!")</f>
        <v>#REF!</v>
      </c>
      <c r="AB131" s="148" t="str">
        <f>IFERROR(__xludf.DUMMYFUNCTION("""COMPUTED_VALUE"""),"#REF!")</f>
        <v>#REF!</v>
      </c>
      <c r="AC131" s="149">
        <v>46154.0</v>
      </c>
      <c r="AD131" s="148"/>
      <c r="AE131" s="148"/>
      <c r="AF131" s="148" t="s">
        <v>258</v>
      </c>
      <c r="AG131" s="148"/>
      <c r="AH131" s="148" t="s">
        <v>256</v>
      </c>
      <c r="AI131" s="148" t="e">
        <v>#REF!</v>
      </c>
      <c r="AJ131" s="148" t="e">
        <v>#REF!</v>
      </c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</row>
    <row r="132" ht="14.25" customHeight="1">
      <c r="A132" s="152" t="s">
        <v>13</v>
      </c>
      <c r="B132" s="135" t="s">
        <v>73</v>
      </c>
      <c r="C132" s="58">
        <v>46154.0</v>
      </c>
      <c r="D132" s="136"/>
      <c r="E132" s="60" t="s">
        <v>255</v>
      </c>
      <c r="F132" s="60"/>
      <c r="G132" s="62" t="s">
        <v>259</v>
      </c>
      <c r="H132" s="63" t="s">
        <v>76</v>
      </c>
      <c r="I132" s="138">
        <v>7.0</v>
      </c>
      <c r="J132" s="63">
        <v>30.35</v>
      </c>
      <c r="K132" s="65" t="s">
        <v>77</v>
      </c>
      <c r="L132" s="66" t="s">
        <v>260</v>
      </c>
      <c r="M132" s="81"/>
      <c r="N132" s="141"/>
      <c r="O132" s="69">
        <f t="shared" si="15"/>
        <v>30.35</v>
      </c>
      <c r="P132" s="142" t="s">
        <v>162</v>
      </c>
      <c r="Q132" s="143" t="s">
        <v>163</v>
      </c>
      <c r="R132" s="74"/>
      <c r="S132" s="145"/>
      <c r="T132" s="146">
        <f t="shared" si="14"/>
        <v>0</v>
      </c>
      <c r="U132" s="146"/>
      <c r="V132" s="147" t="s">
        <v>38</v>
      </c>
      <c r="W132" s="74" t="b">
        <v>0</v>
      </c>
      <c r="X132" s="74" t="b">
        <v>0</v>
      </c>
      <c r="Y132" s="74" t="b">
        <v>1</v>
      </c>
      <c r="Z132" s="148" t="str">
        <f>IFERROR(__xludf.DUMMYFUNCTION("""COMPUTED_VALUE"""),"#REF!")</f>
        <v>#REF!</v>
      </c>
      <c r="AA132" s="148" t="str">
        <f>IFERROR(__xludf.DUMMYFUNCTION("""COMPUTED_VALUE"""),"#REF!")</f>
        <v>#REF!</v>
      </c>
      <c r="AB132" s="148" t="str">
        <f>IFERROR(__xludf.DUMMYFUNCTION("""COMPUTED_VALUE"""),"#REF!")</f>
        <v>#REF!</v>
      </c>
      <c r="AC132" s="149">
        <v>46154.0</v>
      </c>
      <c r="AD132" s="148"/>
      <c r="AE132" s="148"/>
      <c r="AF132" s="148" t="s">
        <v>258</v>
      </c>
      <c r="AG132" s="148"/>
      <c r="AH132" s="148" t="s">
        <v>259</v>
      </c>
      <c r="AI132" s="148" t="e">
        <v>#REF!</v>
      </c>
      <c r="AJ132" s="148" t="e">
        <v>#REF!</v>
      </c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</row>
    <row r="133" ht="14.25" customHeight="1">
      <c r="A133" s="152" t="s">
        <v>13</v>
      </c>
      <c r="B133" s="135" t="s">
        <v>261</v>
      </c>
      <c r="C133" s="77">
        <v>46155.0</v>
      </c>
      <c r="D133" s="136">
        <v>109870.0</v>
      </c>
      <c r="E133" s="60">
        <v>26.10665</v>
      </c>
      <c r="F133" s="60">
        <v>26.36345</v>
      </c>
      <c r="G133" s="62" t="s">
        <v>262</v>
      </c>
      <c r="H133" s="63" t="s">
        <v>45</v>
      </c>
      <c r="I133" s="155">
        <v>1.0</v>
      </c>
      <c r="J133" s="85">
        <v>3.1</v>
      </c>
      <c r="K133" s="80" t="s">
        <v>57</v>
      </c>
      <c r="L133" s="66" t="s">
        <v>263</v>
      </c>
      <c r="M133" s="156"/>
      <c r="N133" s="150"/>
      <c r="O133" s="87">
        <v>3.1</v>
      </c>
      <c r="P133" s="142" t="s">
        <v>153</v>
      </c>
      <c r="Q133" s="143" t="s">
        <v>154</v>
      </c>
      <c r="R133" s="74" t="s">
        <v>179</v>
      </c>
      <c r="S133" s="145"/>
      <c r="T133" s="146">
        <f t="shared" si="14"/>
        <v>0</v>
      </c>
      <c r="U133" s="146"/>
      <c r="V133" s="147" t="s">
        <v>38</v>
      </c>
      <c r="W133" s="74" t="b">
        <v>0</v>
      </c>
      <c r="X133" s="74" t="b">
        <v>0</v>
      </c>
      <c r="Y133" s="74" t="b">
        <v>1</v>
      </c>
      <c r="Z133" s="148" t="str">
        <f>IFERROR(__xludf.DUMMYFUNCTION("""COMPUTED_VALUE"""),"#REF!")</f>
        <v>#REF!</v>
      </c>
      <c r="AA133" s="148" t="str">
        <f>IFERROR(__xludf.DUMMYFUNCTION("""COMPUTED_VALUE"""),"#REF!")</f>
        <v>#REF!</v>
      </c>
      <c r="AB133" s="148" t="str">
        <f>IFERROR(__xludf.DUMMYFUNCTION("""COMPUTED_VALUE"""),"#REF!")</f>
        <v>#REF!</v>
      </c>
      <c r="AC133" s="153">
        <v>46155.0</v>
      </c>
      <c r="AD133" s="148"/>
      <c r="AE133" s="148">
        <v>109870.0</v>
      </c>
      <c r="AF133" s="148" t="s">
        <v>264</v>
      </c>
      <c r="AG133" s="148"/>
      <c r="AH133" s="148" t="s">
        <v>262</v>
      </c>
      <c r="AI133" s="148" t="e">
        <v>#REF!</v>
      </c>
      <c r="AJ133" s="148" t="e">
        <v>#REF!</v>
      </c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</row>
    <row r="134" ht="14.25" customHeight="1">
      <c r="A134" s="152" t="s">
        <v>13</v>
      </c>
      <c r="B134" s="135" t="s">
        <v>261</v>
      </c>
      <c r="C134" s="77">
        <v>46155.0</v>
      </c>
      <c r="D134" s="136">
        <v>109871.0</v>
      </c>
      <c r="E134" s="60">
        <v>26.10555</v>
      </c>
      <c r="F134" s="60">
        <v>26.35947</v>
      </c>
      <c r="G134" s="62" t="s">
        <v>265</v>
      </c>
      <c r="H134" s="63" t="s">
        <v>34</v>
      </c>
      <c r="I134" s="155">
        <v>1.0</v>
      </c>
      <c r="J134" s="85">
        <v>3.01</v>
      </c>
      <c r="K134" s="80" t="s">
        <v>57</v>
      </c>
      <c r="L134" s="66" t="s">
        <v>266</v>
      </c>
      <c r="M134" s="156"/>
      <c r="N134" s="157"/>
      <c r="O134" s="87">
        <v>3.01</v>
      </c>
      <c r="P134" s="151" t="s">
        <v>153</v>
      </c>
      <c r="Q134" s="143" t="s">
        <v>154</v>
      </c>
      <c r="R134" s="74" t="s">
        <v>179</v>
      </c>
      <c r="S134" s="158"/>
      <c r="T134" s="146">
        <f t="shared" si="14"/>
        <v>0</v>
      </c>
      <c r="U134" s="146"/>
      <c r="V134" s="147" t="s">
        <v>38</v>
      </c>
      <c r="W134" s="74" t="b">
        <v>0</v>
      </c>
      <c r="X134" s="74" t="b">
        <v>0</v>
      </c>
      <c r="Y134" s="74" t="b">
        <v>1</v>
      </c>
      <c r="Z134" s="148" t="str">
        <f>IFERROR(__xludf.DUMMYFUNCTION("""COMPUTED_VALUE"""),"#REF!")</f>
        <v>#REF!</v>
      </c>
      <c r="AA134" s="148" t="str">
        <f>IFERROR(__xludf.DUMMYFUNCTION("""COMPUTED_VALUE"""),"#REF!")</f>
        <v>#REF!</v>
      </c>
      <c r="AB134" s="148" t="str">
        <f>IFERROR(__xludf.DUMMYFUNCTION("""COMPUTED_VALUE"""),"#REF!")</f>
        <v>#REF!</v>
      </c>
      <c r="AC134" s="153">
        <v>46155.0</v>
      </c>
      <c r="AD134" s="148"/>
      <c r="AE134" s="148">
        <v>109871.0</v>
      </c>
      <c r="AF134" s="148" t="s">
        <v>267</v>
      </c>
      <c r="AG134" s="148"/>
      <c r="AH134" s="148" t="s">
        <v>265</v>
      </c>
      <c r="AI134" s="148" t="e">
        <v>#REF!</v>
      </c>
      <c r="AJ134" s="148" t="e">
        <v>#REF!</v>
      </c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</row>
    <row r="135" ht="14.25" customHeight="1">
      <c r="A135" s="152" t="s">
        <v>13</v>
      </c>
      <c r="B135" s="135" t="s">
        <v>261</v>
      </c>
      <c r="C135" s="77">
        <v>46155.0</v>
      </c>
      <c r="D135" s="136">
        <v>109872.0</v>
      </c>
      <c r="E135" s="60">
        <v>26.10711</v>
      </c>
      <c r="F135" s="60">
        <v>26.36423</v>
      </c>
      <c r="G135" s="62" t="s">
        <v>268</v>
      </c>
      <c r="H135" s="63" t="s">
        <v>34</v>
      </c>
      <c r="I135" s="155">
        <v>1.0</v>
      </c>
      <c r="J135" s="85">
        <v>11.75</v>
      </c>
      <c r="K135" s="80" t="s">
        <v>269</v>
      </c>
      <c r="L135" s="66" t="s">
        <v>270</v>
      </c>
      <c r="M135" s="156"/>
      <c r="N135" s="157"/>
      <c r="O135" s="87">
        <v>11.75</v>
      </c>
      <c r="P135" s="151" t="s">
        <v>153</v>
      </c>
      <c r="Q135" s="143" t="s">
        <v>154</v>
      </c>
      <c r="R135" s="74" t="s">
        <v>179</v>
      </c>
      <c r="S135" s="158"/>
      <c r="T135" s="146">
        <f t="shared" si="14"/>
        <v>0</v>
      </c>
      <c r="U135" s="146"/>
      <c r="V135" s="147" t="s">
        <v>38</v>
      </c>
      <c r="W135" s="74" t="b">
        <v>0</v>
      </c>
      <c r="X135" s="74" t="b">
        <v>0</v>
      </c>
      <c r="Y135" s="74" t="b">
        <v>1</v>
      </c>
      <c r="Z135" s="148" t="str">
        <f>IFERROR(__xludf.DUMMYFUNCTION("""COMPUTED_VALUE"""),"#REF!")</f>
        <v>#REF!</v>
      </c>
      <c r="AA135" s="148" t="str">
        <f>IFERROR(__xludf.DUMMYFUNCTION("""COMPUTED_VALUE"""),"#REF!")</f>
        <v>#REF!</v>
      </c>
      <c r="AB135" s="148" t="str">
        <f>IFERROR(__xludf.DUMMYFUNCTION("""COMPUTED_VALUE"""),"#REF!")</f>
        <v>#REF!</v>
      </c>
      <c r="AC135" s="153">
        <v>46155.0</v>
      </c>
      <c r="AD135" s="148"/>
      <c r="AE135" s="148">
        <v>109872.0</v>
      </c>
      <c r="AF135" s="148" t="s">
        <v>271</v>
      </c>
      <c r="AG135" s="148"/>
      <c r="AH135" s="148" t="s">
        <v>268</v>
      </c>
      <c r="AI135" s="148" t="e">
        <v>#REF!</v>
      </c>
      <c r="AJ135" s="148" t="e">
        <v>#REF!</v>
      </c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</row>
    <row r="136" ht="14.25" customHeight="1">
      <c r="A136" s="152" t="s">
        <v>13</v>
      </c>
      <c r="B136" s="135" t="s">
        <v>261</v>
      </c>
      <c r="C136" s="77">
        <v>46155.0</v>
      </c>
      <c r="D136" s="136">
        <v>109873.0</v>
      </c>
      <c r="E136" s="60">
        <v>26.1059</v>
      </c>
      <c r="F136" s="60">
        <v>26.36056</v>
      </c>
      <c r="G136" s="62" t="s">
        <v>272</v>
      </c>
      <c r="H136" s="63" t="s">
        <v>34</v>
      </c>
      <c r="I136" s="155">
        <v>1.0</v>
      </c>
      <c r="J136" s="85">
        <v>18.66</v>
      </c>
      <c r="K136" s="80" t="s">
        <v>273</v>
      </c>
      <c r="L136" s="66" t="s">
        <v>274</v>
      </c>
      <c r="M136" s="156"/>
      <c r="N136" s="157"/>
      <c r="O136" s="87">
        <v>18.66</v>
      </c>
      <c r="P136" s="151" t="s">
        <v>153</v>
      </c>
      <c r="Q136" s="143" t="s">
        <v>154</v>
      </c>
      <c r="R136" s="74" t="s">
        <v>179</v>
      </c>
      <c r="S136" s="158"/>
      <c r="T136" s="146">
        <f t="shared" si="14"/>
        <v>0</v>
      </c>
      <c r="U136" s="146"/>
      <c r="V136" s="147" t="s">
        <v>38</v>
      </c>
      <c r="W136" s="74" t="b">
        <v>0</v>
      </c>
      <c r="X136" s="74" t="b">
        <v>0</v>
      </c>
      <c r="Y136" s="74" t="b">
        <v>1</v>
      </c>
      <c r="Z136" s="148" t="str">
        <f>IFERROR(__xludf.DUMMYFUNCTION("""COMPUTED_VALUE"""),"#REF!")</f>
        <v>#REF!</v>
      </c>
      <c r="AA136" s="148" t="str">
        <f>IFERROR(__xludf.DUMMYFUNCTION("""COMPUTED_VALUE"""),"#REF!")</f>
        <v>#REF!</v>
      </c>
      <c r="AB136" s="148" t="str">
        <f>IFERROR(__xludf.DUMMYFUNCTION("""COMPUTED_VALUE"""),"#REF!")</f>
        <v>#REF!</v>
      </c>
      <c r="AC136" s="153">
        <v>46155.0</v>
      </c>
      <c r="AD136" s="148"/>
      <c r="AE136" s="148">
        <v>109873.0</v>
      </c>
      <c r="AF136" s="148" t="s">
        <v>275</v>
      </c>
      <c r="AG136" s="148"/>
      <c r="AH136" s="148" t="s">
        <v>272</v>
      </c>
      <c r="AI136" s="148" t="e">
        <v>#REF!</v>
      </c>
      <c r="AJ136" s="148" t="e">
        <v>#REF!</v>
      </c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</row>
    <row r="137" ht="14.25" customHeight="1">
      <c r="A137" s="152" t="s">
        <v>13</v>
      </c>
      <c r="B137" s="135" t="s">
        <v>261</v>
      </c>
      <c r="C137" s="77">
        <v>46155.0</v>
      </c>
      <c r="D137" s="136">
        <v>109874.0</v>
      </c>
      <c r="E137" s="60">
        <v>26.10629</v>
      </c>
      <c r="F137" s="60">
        <v>26.36171</v>
      </c>
      <c r="G137" s="62" t="s">
        <v>276</v>
      </c>
      <c r="H137" s="63" t="s">
        <v>277</v>
      </c>
      <c r="I137" s="155">
        <v>1.0</v>
      </c>
      <c r="J137" s="85">
        <v>50.4</v>
      </c>
      <c r="K137" s="80" t="s">
        <v>160</v>
      </c>
      <c r="L137" s="66" t="s">
        <v>278</v>
      </c>
      <c r="M137" s="156"/>
      <c r="N137" s="157"/>
      <c r="O137" s="87">
        <v>50.4</v>
      </c>
      <c r="P137" s="151" t="s">
        <v>153</v>
      </c>
      <c r="Q137" s="143" t="s">
        <v>154</v>
      </c>
      <c r="R137" s="74" t="s">
        <v>253</v>
      </c>
      <c r="S137" s="158"/>
      <c r="T137" s="146">
        <f t="shared" si="14"/>
        <v>0</v>
      </c>
      <c r="U137" s="146"/>
      <c r="V137" s="147" t="s">
        <v>38</v>
      </c>
      <c r="W137" s="74" t="b">
        <v>0</v>
      </c>
      <c r="X137" s="74" t="b">
        <v>0</v>
      </c>
      <c r="Y137" s="74" t="b">
        <v>1</v>
      </c>
      <c r="Z137" s="148" t="str">
        <f>IFERROR(__xludf.DUMMYFUNCTION("""COMPUTED_VALUE"""),"#REF!")</f>
        <v>#REF!</v>
      </c>
      <c r="AA137" s="148" t="str">
        <f>IFERROR(__xludf.DUMMYFUNCTION("""COMPUTED_VALUE"""),"#REF!")</f>
        <v>#REF!</v>
      </c>
      <c r="AB137" s="148" t="str">
        <f>IFERROR(__xludf.DUMMYFUNCTION("""COMPUTED_VALUE"""),"#REF!")</f>
        <v>#REF!</v>
      </c>
      <c r="AC137" s="153">
        <v>46155.0</v>
      </c>
      <c r="AD137" s="148"/>
      <c r="AE137" s="148">
        <v>109874.0</v>
      </c>
      <c r="AF137" s="148" t="s">
        <v>279</v>
      </c>
      <c r="AG137" s="148"/>
      <c r="AH137" s="148" t="s">
        <v>276</v>
      </c>
      <c r="AI137" s="148" t="e">
        <v>#REF!</v>
      </c>
      <c r="AJ137" s="148" t="e">
        <v>#REF!</v>
      </c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</row>
    <row r="138" ht="14.25" customHeight="1">
      <c r="A138" s="152" t="s">
        <v>13</v>
      </c>
      <c r="B138" s="135" t="s">
        <v>261</v>
      </c>
      <c r="C138" s="77">
        <v>46155.0</v>
      </c>
      <c r="D138" s="136">
        <v>109875.0</v>
      </c>
      <c r="E138" s="60">
        <v>26.10492</v>
      </c>
      <c r="F138" s="60">
        <v>26.35669</v>
      </c>
      <c r="G138" s="62" t="s">
        <v>280</v>
      </c>
      <c r="H138" s="63" t="s">
        <v>34</v>
      </c>
      <c r="I138" s="155">
        <v>1.0</v>
      </c>
      <c r="J138" s="85">
        <v>21.24</v>
      </c>
      <c r="K138" s="80" t="s">
        <v>160</v>
      </c>
      <c r="L138" s="66" t="s">
        <v>281</v>
      </c>
      <c r="M138" s="156"/>
      <c r="N138" s="157"/>
      <c r="O138" s="87">
        <v>21.24</v>
      </c>
      <c r="P138" s="151" t="s">
        <v>162</v>
      </c>
      <c r="Q138" s="143" t="s">
        <v>163</v>
      </c>
      <c r="R138" s="74"/>
      <c r="S138" s="158"/>
      <c r="T138" s="146">
        <f t="shared" si="14"/>
        <v>0</v>
      </c>
      <c r="U138" s="146"/>
      <c r="V138" s="147" t="s">
        <v>38</v>
      </c>
      <c r="W138" s="74" t="b">
        <v>0</v>
      </c>
      <c r="X138" s="74" t="b">
        <v>0</v>
      </c>
      <c r="Y138" s="74" t="b">
        <v>1</v>
      </c>
      <c r="Z138" s="148" t="str">
        <f>IFERROR(__xludf.DUMMYFUNCTION("""COMPUTED_VALUE"""),"#REF!")</f>
        <v>#REF!</v>
      </c>
      <c r="AA138" s="148" t="str">
        <f>IFERROR(__xludf.DUMMYFUNCTION("""COMPUTED_VALUE"""),"#REF!")</f>
        <v>#REF!</v>
      </c>
      <c r="AB138" s="148" t="str">
        <f>IFERROR(__xludf.DUMMYFUNCTION("""COMPUTED_VALUE"""),"#REF!")</f>
        <v>#REF!</v>
      </c>
      <c r="AC138" s="153">
        <v>46155.0</v>
      </c>
      <c r="AD138" s="148"/>
      <c r="AE138" s="148">
        <v>109875.0</v>
      </c>
      <c r="AF138" s="148" t="s">
        <v>282</v>
      </c>
      <c r="AG138" s="148"/>
      <c r="AH138" s="148" t="s">
        <v>280</v>
      </c>
      <c r="AI138" s="148" t="e">
        <v>#REF!</v>
      </c>
      <c r="AJ138" s="148" t="e">
        <v>#REF!</v>
      </c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</row>
    <row r="139" ht="14.25" customHeight="1">
      <c r="A139" s="152" t="s">
        <v>13</v>
      </c>
      <c r="B139" s="135" t="s">
        <v>261</v>
      </c>
      <c r="C139" s="77">
        <v>46155.0</v>
      </c>
      <c r="D139" s="136">
        <v>109876.0</v>
      </c>
      <c r="E139" s="60">
        <v>26.10492</v>
      </c>
      <c r="F139" s="159">
        <v>26.3567</v>
      </c>
      <c r="G139" s="62" t="s">
        <v>283</v>
      </c>
      <c r="H139" s="63" t="s">
        <v>34</v>
      </c>
      <c r="I139" s="155">
        <v>1.0</v>
      </c>
      <c r="J139" s="85">
        <v>21.83</v>
      </c>
      <c r="K139" s="80" t="s">
        <v>160</v>
      </c>
      <c r="L139" s="66" t="s">
        <v>284</v>
      </c>
      <c r="M139" s="156"/>
      <c r="N139" s="150"/>
      <c r="O139" s="87">
        <v>21.83</v>
      </c>
      <c r="P139" s="151" t="s">
        <v>162</v>
      </c>
      <c r="Q139" s="143" t="s">
        <v>163</v>
      </c>
      <c r="R139" s="74"/>
      <c r="S139" s="158"/>
      <c r="T139" s="146">
        <f t="shared" si="14"/>
        <v>0</v>
      </c>
      <c r="U139" s="146"/>
      <c r="V139" s="147" t="s">
        <v>38</v>
      </c>
      <c r="W139" s="74" t="b">
        <v>0</v>
      </c>
      <c r="X139" s="74" t="b">
        <v>0</v>
      </c>
      <c r="Y139" s="74" t="b">
        <v>1</v>
      </c>
      <c r="Z139" s="148" t="str">
        <f>IFERROR(__xludf.DUMMYFUNCTION("""COMPUTED_VALUE"""),"#REF!")</f>
        <v>#REF!</v>
      </c>
      <c r="AA139" s="148" t="str">
        <f>IFERROR(__xludf.DUMMYFUNCTION("""COMPUTED_VALUE"""),"#REF!")</f>
        <v>#REF!</v>
      </c>
      <c r="AB139" s="148" t="str">
        <f>IFERROR(__xludf.DUMMYFUNCTION("""COMPUTED_VALUE"""),"#REF!")</f>
        <v>#REF!</v>
      </c>
      <c r="AC139" s="153">
        <v>46155.0</v>
      </c>
      <c r="AD139" s="148"/>
      <c r="AE139" s="148">
        <v>109876.0</v>
      </c>
      <c r="AF139" s="148" t="s">
        <v>285</v>
      </c>
      <c r="AG139" s="148"/>
      <c r="AH139" s="148" t="s">
        <v>283</v>
      </c>
      <c r="AI139" s="148" t="e">
        <v>#REF!</v>
      </c>
      <c r="AJ139" s="148" t="e">
        <v>#REF!</v>
      </c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</row>
    <row r="140" ht="14.25" customHeight="1">
      <c r="A140" s="152" t="s">
        <v>13</v>
      </c>
      <c r="B140" s="135" t="s">
        <v>261</v>
      </c>
      <c r="C140" s="77">
        <v>46155.0</v>
      </c>
      <c r="D140" s="136">
        <v>109877.0</v>
      </c>
      <c r="E140" s="60">
        <v>26.10731</v>
      </c>
      <c r="F140" s="60">
        <v>26.36462</v>
      </c>
      <c r="G140" s="62" t="s">
        <v>286</v>
      </c>
      <c r="H140" s="63" t="s">
        <v>34</v>
      </c>
      <c r="I140" s="155">
        <v>1.0</v>
      </c>
      <c r="J140" s="85">
        <v>7.45</v>
      </c>
      <c r="K140" s="80" t="s">
        <v>87</v>
      </c>
      <c r="L140" s="66" t="s">
        <v>287</v>
      </c>
      <c r="M140" s="156">
        <v>1.0</v>
      </c>
      <c r="N140" s="150">
        <v>0.097</v>
      </c>
      <c r="O140" s="87">
        <v>7.4306</v>
      </c>
      <c r="P140" s="151" t="s">
        <v>153</v>
      </c>
      <c r="Q140" s="143" t="s">
        <v>154</v>
      </c>
      <c r="R140" s="74" t="s">
        <v>179</v>
      </c>
      <c r="S140" s="158"/>
      <c r="T140" s="146">
        <f t="shared" si="14"/>
        <v>0</v>
      </c>
      <c r="U140" s="146"/>
      <c r="V140" s="147" t="s">
        <v>38</v>
      </c>
      <c r="W140" s="74" t="b">
        <v>1</v>
      </c>
      <c r="X140" s="74" t="b">
        <v>0</v>
      </c>
      <c r="Y140" s="74" t="b">
        <v>1</v>
      </c>
      <c r="Z140" s="148" t="str">
        <f>IFERROR(__xludf.DUMMYFUNCTION("""COMPUTED_VALUE"""),"#REF!")</f>
        <v>#REF!</v>
      </c>
      <c r="AA140" s="148" t="str">
        <f>IFERROR(__xludf.DUMMYFUNCTION("""COMPUTED_VALUE"""),"#REF!")</f>
        <v>#REF!</v>
      </c>
      <c r="AB140" s="148" t="str">
        <f>IFERROR(__xludf.DUMMYFUNCTION("""COMPUTED_VALUE"""),"#REF!")</f>
        <v>#REF!</v>
      </c>
      <c r="AC140" s="153">
        <v>46155.0</v>
      </c>
      <c r="AD140" s="148"/>
      <c r="AE140" s="148">
        <v>109877.0</v>
      </c>
      <c r="AF140" s="148" t="s">
        <v>288</v>
      </c>
      <c r="AG140" s="148"/>
      <c r="AH140" s="148" t="s">
        <v>286</v>
      </c>
      <c r="AI140" s="148" t="e">
        <v>#REF!</v>
      </c>
      <c r="AJ140" s="148" t="e">
        <v>#REF!</v>
      </c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</row>
    <row r="141" ht="14.25" customHeight="1">
      <c r="A141" s="152" t="s">
        <v>13</v>
      </c>
      <c r="B141" s="135" t="s">
        <v>261</v>
      </c>
      <c r="C141" s="77">
        <v>46155.0</v>
      </c>
      <c r="D141" s="136">
        <v>109878.0</v>
      </c>
      <c r="E141" s="60">
        <v>26.10731</v>
      </c>
      <c r="F141" s="60">
        <v>26.36463</v>
      </c>
      <c r="G141" s="62" t="s">
        <v>289</v>
      </c>
      <c r="H141" s="63" t="s">
        <v>34</v>
      </c>
      <c r="I141" s="155">
        <v>1.0</v>
      </c>
      <c r="J141" s="85">
        <v>7.61</v>
      </c>
      <c r="K141" s="80" t="s">
        <v>87</v>
      </c>
      <c r="L141" s="66" t="s">
        <v>287</v>
      </c>
      <c r="M141" s="156">
        <v>1.0</v>
      </c>
      <c r="N141" s="150">
        <v>0.095</v>
      </c>
      <c r="O141" s="87">
        <v>7.591</v>
      </c>
      <c r="P141" s="151" t="s">
        <v>153</v>
      </c>
      <c r="Q141" s="143" t="s">
        <v>154</v>
      </c>
      <c r="R141" s="74" t="s">
        <v>179</v>
      </c>
      <c r="S141" s="158"/>
      <c r="T141" s="146">
        <f t="shared" si="14"/>
        <v>0</v>
      </c>
      <c r="U141" s="146"/>
      <c r="V141" s="147" t="s">
        <v>38</v>
      </c>
      <c r="W141" s="74" t="b">
        <v>1</v>
      </c>
      <c r="X141" s="74" t="b">
        <v>0</v>
      </c>
      <c r="Y141" s="74" t="b">
        <v>1</v>
      </c>
      <c r="Z141" s="148" t="str">
        <f>IFERROR(__xludf.DUMMYFUNCTION("""COMPUTED_VALUE"""),"#REF!")</f>
        <v>#REF!</v>
      </c>
      <c r="AA141" s="148" t="str">
        <f>IFERROR(__xludf.DUMMYFUNCTION("""COMPUTED_VALUE"""),"#REF!")</f>
        <v>#REF!</v>
      </c>
      <c r="AB141" s="148" t="str">
        <f>IFERROR(__xludf.DUMMYFUNCTION("""COMPUTED_VALUE"""),"#REF!")</f>
        <v>#REF!</v>
      </c>
      <c r="AC141" s="153">
        <v>46155.0</v>
      </c>
      <c r="AD141" s="148"/>
      <c r="AE141" s="148">
        <v>109878.0</v>
      </c>
      <c r="AF141" s="148" t="s">
        <v>290</v>
      </c>
      <c r="AG141" s="148"/>
      <c r="AH141" s="148" t="s">
        <v>289</v>
      </c>
      <c r="AI141" s="148" t="e">
        <v>#REF!</v>
      </c>
      <c r="AJ141" s="148" t="e">
        <v>#REF!</v>
      </c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</row>
    <row r="142" ht="14.25" customHeight="1">
      <c r="A142" s="152" t="s">
        <v>13</v>
      </c>
      <c r="B142" s="135" t="s">
        <v>261</v>
      </c>
      <c r="C142" s="77">
        <v>46155.0</v>
      </c>
      <c r="D142" s="136">
        <v>109879.0</v>
      </c>
      <c r="E142" s="60">
        <v>26.10714</v>
      </c>
      <c r="F142" s="60">
        <v>26.36428</v>
      </c>
      <c r="G142" s="62" t="s">
        <v>291</v>
      </c>
      <c r="H142" s="63" t="s">
        <v>34</v>
      </c>
      <c r="I142" s="155">
        <v>1.0</v>
      </c>
      <c r="J142" s="85">
        <v>9.37</v>
      </c>
      <c r="K142" s="80" t="s">
        <v>46</v>
      </c>
      <c r="L142" s="66" t="s">
        <v>292</v>
      </c>
      <c r="M142" s="156">
        <v>30.0</v>
      </c>
      <c r="N142" s="150">
        <v>0.559</v>
      </c>
      <c r="O142" s="87">
        <v>9.258199999999999</v>
      </c>
      <c r="P142" s="151" t="s">
        <v>153</v>
      </c>
      <c r="Q142" s="143" t="s">
        <v>154</v>
      </c>
      <c r="R142" s="74" t="s">
        <v>253</v>
      </c>
      <c r="S142" s="158"/>
      <c r="T142" s="146">
        <f t="shared" si="14"/>
        <v>0</v>
      </c>
      <c r="U142" s="146"/>
      <c r="V142" s="147" t="s">
        <v>38</v>
      </c>
      <c r="W142" s="74" t="b">
        <v>1</v>
      </c>
      <c r="X142" s="74" t="b">
        <v>0</v>
      </c>
      <c r="Y142" s="74" t="b">
        <v>1</v>
      </c>
      <c r="Z142" s="148" t="str">
        <f>IFERROR(__xludf.DUMMYFUNCTION("""COMPUTED_VALUE"""),"#REF!")</f>
        <v>#REF!</v>
      </c>
      <c r="AA142" s="148" t="str">
        <f>IFERROR(__xludf.DUMMYFUNCTION("""COMPUTED_VALUE"""),"#REF!")</f>
        <v>#REF!</v>
      </c>
      <c r="AB142" s="148" t="str">
        <f>IFERROR(__xludf.DUMMYFUNCTION("""COMPUTED_VALUE"""),"#REF!")</f>
        <v>#REF!</v>
      </c>
      <c r="AC142" s="153">
        <v>46155.0</v>
      </c>
      <c r="AD142" s="148"/>
      <c r="AE142" s="148">
        <v>109879.0</v>
      </c>
      <c r="AF142" s="148" t="s">
        <v>293</v>
      </c>
      <c r="AG142" s="148"/>
      <c r="AH142" s="148" t="s">
        <v>291</v>
      </c>
      <c r="AI142" s="148" t="e">
        <v>#REF!</v>
      </c>
      <c r="AJ142" s="148" t="e">
        <v>#REF!</v>
      </c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</row>
    <row r="143" ht="14.25" customHeight="1">
      <c r="A143" s="152" t="s">
        <v>13</v>
      </c>
      <c r="B143" s="135" t="s">
        <v>294</v>
      </c>
      <c r="C143" s="77">
        <v>46156.0</v>
      </c>
      <c r="D143" s="136">
        <v>109880.0</v>
      </c>
      <c r="E143" s="60">
        <v>26.10646</v>
      </c>
      <c r="F143" s="60">
        <v>26.36189</v>
      </c>
      <c r="G143" s="62" t="s">
        <v>295</v>
      </c>
      <c r="H143" s="160" t="s">
        <v>106</v>
      </c>
      <c r="I143" s="155">
        <v>1.0</v>
      </c>
      <c r="J143" s="85">
        <v>3.58</v>
      </c>
      <c r="K143" s="80" t="s">
        <v>296</v>
      </c>
      <c r="L143" s="66" t="s">
        <v>297</v>
      </c>
      <c r="M143" s="156">
        <v>10.0</v>
      </c>
      <c r="N143" s="150">
        <v>0.038</v>
      </c>
      <c r="O143" s="87">
        <v>3.5724</v>
      </c>
      <c r="P143" s="142" t="s">
        <v>298</v>
      </c>
      <c r="Q143" s="143" t="s">
        <v>154</v>
      </c>
      <c r="R143" s="74" t="s">
        <v>179</v>
      </c>
      <c r="S143" s="158"/>
      <c r="T143" s="146">
        <f t="shared" si="14"/>
        <v>0</v>
      </c>
      <c r="U143" s="146"/>
      <c r="V143" s="147" t="s">
        <v>38</v>
      </c>
      <c r="W143" s="74" t="b">
        <v>1</v>
      </c>
      <c r="X143" s="74" t="b">
        <v>0</v>
      </c>
      <c r="Y143" s="74" t="b">
        <v>1</v>
      </c>
      <c r="Z143" s="148" t="str">
        <f>IFERROR(__xludf.DUMMYFUNCTION("""COMPUTED_VALUE"""),"#REF!")</f>
        <v>#REF!</v>
      </c>
      <c r="AA143" s="148" t="str">
        <f>IFERROR(__xludf.DUMMYFUNCTION("""COMPUTED_VALUE"""),"#REF!")</f>
        <v>#REF!</v>
      </c>
      <c r="AB143" s="148" t="str">
        <f>IFERROR(__xludf.DUMMYFUNCTION("""COMPUTED_VALUE"""),"#REF!")</f>
        <v>#REF!</v>
      </c>
      <c r="AC143" s="153">
        <v>46156.0</v>
      </c>
      <c r="AD143" s="148"/>
      <c r="AE143" s="148">
        <v>109880.0</v>
      </c>
      <c r="AF143" s="148" t="s">
        <v>299</v>
      </c>
      <c r="AG143" s="148"/>
      <c r="AH143" s="148" t="s">
        <v>295</v>
      </c>
      <c r="AI143" s="148" t="e">
        <v>#REF!</v>
      </c>
      <c r="AJ143" s="148" t="e">
        <v>#REF!</v>
      </c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</row>
    <row r="144" ht="14.25" customHeight="1">
      <c r="A144" s="152" t="s">
        <v>13</v>
      </c>
      <c r="B144" s="135" t="s">
        <v>294</v>
      </c>
      <c r="C144" s="77">
        <v>46156.0</v>
      </c>
      <c r="D144" s="136">
        <v>109881.0</v>
      </c>
      <c r="E144" s="60">
        <v>26.10545</v>
      </c>
      <c r="F144" s="60">
        <v>26.35881</v>
      </c>
      <c r="G144" s="62" t="s">
        <v>300</v>
      </c>
      <c r="H144" s="63" t="s">
        <v>34</v>
      </c>
      <c r="I144" s="155">
        <v>1.0</v>
      </c>
      <c r="J144" s="85">
        <v>3.32</v>
      </c>
      <c r="K144" s="80" t="s">
        <v>188</v>
      </c>
      <c r="L144" s="66" t="s">
        <v>301</v>
      </c>
      <c r="M144" s="156">
        <v>68.0</v>
      </c>
      <c r="N144" s="150">
        <v>0.44999999999999996</v>
      </c>
      <c r="O144" s="87">
        <v>3.23</v>
      </c>
      <c r="P144" s="151" t="s">
        <v>153</v>
      </c>
      <c r="Q144" s="143" t="s">
        <v>154</v>
      </c>
      <c r="R144" s="74" t="s">
        <v>179</v>
      </c>
      <c r="S144" s="158"/>
      <c r="T144" s="146">
        <f t="shared" si="14"/>
        <v>0</v>
      </c>
      <c r="U144" s="146"/>
      <c r="V144" s="147" t="s">
        <v>38</v>
      </c>
      <c r="W144" s="74" t="b">
        <v>1</v>
      </c>
      <c r="X144" s="74" t="b">
        <v>0</v>
      </c>
      <c r="Y144" s="74" t="b">
        <v>1</v>
      </c>
      <c r="Z144" s="148" t="str">
        <f>IFERROR(__xludf.DUMMYFUNCTION("""COMPUTED_VALUE"""),"#REF!")</f>
        <v>#REF!</v>
      </c>
      <c r="AA144" s="148" t="str">
        <f>IFERROR(__xludf.DUMMYFUNCTION("""COMPUTED_VALUE"""),"#REF!")</f>
        <v>#REF!</v>
      </c>
      <c r="AB144" s="148" t="str">
        <f>IFERROR(__xludf.DUMMYFUNCTION("""COMPUTED_VALUE"""),"#REF!")</f>
        <v>#REF!</v>
      </c>
      <c r="AC144" s="153">
        <v>46156.0</v>
      </c>
      <c r="AD144" s="148"/>
      <c r="AE144" s="148">
        <v>109881.0</v>
      </c>
      <c r="AF144" s="148" t="s">
        <v>302</v>
      </c>
      <c r="AG144" s="148"/>
      <c r="AH144" s="148" t="s">
        <v>300</v>
      </c>
      <c r="AI144" s="148" t="e">
        <v>#REF!</v>
      </c>
      <c r="AJ144" s="148" t="e">
        <v>#REF!</v>
      </c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</row>
    <row r="145" ht="14.25" customHeight="1">
      <c r="A145" s="152" t="s">
        <v>13</v>
      </c>
      <c r="B145" s="135" t="s">
        <v>294</v>
      </c>
      <c r="C145" s="77">
        <v>46156.0</v>
      </c>
      <c r="D145" s="136">
        <v>109882.0</v>
      </c>
      <c r="E145" s="60">
        <v>26.10707</v>
      </c>
      <c r="F145" s="60">
        <v>26.36414</v>
      </c>
      <c r="G145" s="62" t="s">
        <v>303</v>
      </c>
      <c r="H145" s="160" t="s">
        <v>304</v>
      </c>
      <c r="I145" s="155">
        <v>1.0</v>
      </c>
      <c r="J145" s="85">
        <v>11.11</v>
      </c>
      <c r="K145" s="80" t="s">
        <v>305</v>
      </c>
      <c r="L145" s="66" t="s">
        <v>306</v>
      </c>
      <c r="M145" s="156"/>
      <c r="N145" s="150"/>
      <c r="O145" s="87">
        <v>11.11</v>
      </c>
      <c r="P145" s="151" t="s">
        <v>153</v>
      </c>
      <c r="Q145" s="143" t="s">
        <v>154</v>
      </c>
      <c r="R145" s="74" t="s">
        <v>179</v>
      </c>
      <c r="S145" s="158"/>
      <c r="T145" s="146">
        <f t="shared" si="14"/>
        <v>0</v>
      </c>
      <c r="U145" s="146"/>
      <c r="V145" s="147" t="s">
        <v>38</v>
      </c>
      <c r="W145" s="74" t="b">
        <v>0</v>
      </c>
      <c r="X145" s="74" t="b">
        <v>0</v>
      </c>
      <c r="Y145" s="74" t="b">
        <v>1</v>
      </c>
      <c r="Z145" s="148" t="str">
        <f>IFERROR(__xludf.DUMMYFUNCTION("""COMPUTED_VALUE"""),"#REF!")</f>
        <v>#REF!</v>
      </c>
      <c r="AA145" s="148" t="str">
        <f>IFERROR(__xludf.DUMMYFUNCTION("""COMPUTED_VALUE"""),"#REF!")</f>
        <v>#REF!</v>
      </c>
      <c r="AB145" s="148" t="str">
        <f>IFERROR(__xludf.DUMMYFUNCTION("""COMPUTED_VALUE"""),"#REF!")</f>
        <v>#REF!</v>
      </c>
      <c r="AC145" s="153">
        <v>46156.0</v>
      </c>
      <c r="AD145" s="148"/>
      <c r="AE145" s="148">
        <v>109882.0</v>
      </c>
      <c r="AF145" s="148" t="s">
        <v>307</v>
      </c>
      <c r="AG145" s="148"/>
      <c r="AH145" s="148" t="s">
        <v>303</v>
      </c>
      <c r="AI145" s="148" t="e">
        <v>#REF!</v>
      </c>
      <c r="AJ145" s="148" t="e">
        <v>#REF!</v>
      </c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</row>
    <row r="146" ht="14.25" customHeight="1">
      <c r="A146" s="152" t="s">
        <v>13</v>
      </c>
      <c r="B146" s="135" t="s">
        <v>294</v>
      </c>
      <c r="C146" s="77">
        <v>46156.0</v>
      </c>
      <c r="D146" s="136">
        <v>109885.0</v>
      </c>
      <c r="E146" s="60">
        <v>26.10647</v>
      </c>
      <c r="F146" s="60">
        <v>26.36186</v>
      </c>
      <c r="G146" s="62" t="s">
        <v>308</v>
      </c>
      <c r="H146" s="160" t="s">
        <v>106</v>
      </c>
      <c r="I146" s="155">
        <v>1.0</v>
      </c>
      <c r="J146" s="85">
        <v>8.43</v>
      </c>
      <c r="K146" s="80" t="s">
        <v>57</v>
      </c>
      <c r="L146" s="66" t="s">
        <v>309</v>
      </c>
      <c r="M146" s="156"/>
      <c r="N146" s="157"/>
      <c r="O146" s="87">
        <v>8.43</v>
      </c>
      <c r="P146" s="142" t="s">
        <v>238</v>
      </c>
      <c r="Q146" s="143" t="s">
        <v>154</v>
      </c>
      <c r="R146" s="74" t="s">
        <v>253</v>
      </c>
      <c r="S146" s="158"/>
      <c r="T146" s="146">
        <f t="shared" si="14"/>
        <v>0</v>
      </c>
      <c r="U146" s="146"/>
      <c r="V146" s="147" t="s">
        <v>38</v>
      </c>
      <c r="W146" s="74" t="b">
        <v>0</v>
      </c>
      <c r="X146" s="74" t="b">
        <v>0</v>
      </c>
      <c r="Y146" s="74" t="b">
        <v>1</v>
      </c>
      <c r="Z146" s="148" t="str">
        <f>IFERROR(__xludf.DUMMYFUNCTION("""COMPUTED_VALUE"""),"#REF!")</f>
        <v>#REF!</v>
      </c>
      <c r="AA146" s="148" t="str">
        <f>IFERROR(__xludf.DUMMYFUNCTION("""COMPUTED_VALUE"""),"#REF!")</f>
        <v>#REF!</v>
      </c>
      <c r="AB146" s="148" t="str">
        <f>IFERROR(__xludf.DUMMYFUNCTION("""COMPUTED_VALUE"""),"#REF!")</f>
        <v>#REF!</v>
      </c>
      <c r="AC146" s="153">
        <v>46156.0</v>
      </c>
      <c r="AD146" s="148"/>
      <c r="AE146" s="148">
        <v>109885.0</v>
      </c>
      <c r="AF146" s="148" t="s">
        <v>310</v>
      </c>
      <c r="AG146" s="148"/>
      <c r="AH146" s="148" t="s">
        <v>308</v>
      </c>
      <c r="AI146" s="148" t="e">
        <v>#REF!</v>
      </c>
      <c r="AJ146" s="148" t="e">
        <v>#REF!</v>
      </c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</row>
    <row r="147" ht="14.25" customHeight="1">
      <c r="A147" s="152" t="s">
        <v>13</v>
      </c>
      <c r="B147" s="135" t="s">
        <v>311</v>
      </c>
      <c r="C147" s="77">
        <v>46157.0</v>
      </c>
      <c r="D147" s="161" t="s">
        <v>312</v>
      </c>
      <c r="E147" s="60">
        <v>26.10738</v>
      </c>
      <c r="F147" s="60">
        <v>26.36484</v>
      </c>
      <c r="G147" s="62" t="s">
        <v>313</v>
      </c>
      <c r="H147" s="63" t="s">
        <v>34</v>
      </c>
      <c r="I147" s="155">
        <v>1.0</v>
      </c>
      <c r="J147" s="85">
        <v>3.97</v>
      </c>
      <c r="K147" s="80" t="s">
        <v>314</v>
      </c>
      <c r="L147" s="66" t="s">
        <v>315</v>
      </c>
      <c r="M147" s="156"/>
      <c r="N147" s="157"/>
      <c r="O147" s="87">
        <v>3.97</v>
      </c>
      <c r="P147" s="151" t="s">
        <v>153</v>
      </c>
      <c r="Q147" s="143" t="s">
        <v>154</v>
      </c>
      <c r="R147" s="74" t="s">
        <v>179</v>
      </c>
      <c r="S147" s="158"/>
      <c r="T147" s="146">
        <f t="shared" si="14"/>
        <v>0</v>
      </c>
      <c r="U147" s="146"/>
      <c r="V147" s="147" t="s">
        <v>38</v>
      </c>
      <c r="W147" s="74" t="b">
        <v>0</v>
      </c>
      <c r="X147" s="74" t="b">
        <v>0</v>
      </c>
      <c r="Y147" s="74" t="b">
        <v>1</v>
      </c>
      <c r="Z147" s="148" t="str">
        <f>IFERROR(__xludf.DUMMYFUNCTION("""COMPUTED_VALUE"""),"#REF!")</f>
        <v>#REF!</v>
      </c>
      <c r="AA147" s="148" t="str">
        <f>IFERROR(__xludf.DUMMYFUNCTION("""COMPUTED_VALUE"""),"#REF!")</f>
        <v>#REF!</v>
      </c>
      <c r="AB147" s="148" t="str">
        <f>IFERROR(__xludf.DUMMYFUNCTION("""COMPUTED_VALUE"""),"#REF!")</f>
        <v>#REF!</v>
      </c>
      <c r="AC147" s="153">
        <v>46157.0</v>
      </c>
      <c r="AD147" s="148"/>
      <c r="AE147" s="47" t="s">
        <v>312</v>
      </c>
      <c r="AF147" s="148" t="s">
        <v>316</v>
      </c>
      <c r="AG147" s="148"/>
      <c r="AH147" s="148" t="s">
        <v>313</v>
      </c>
      <c r="AI147" s="148" t="e">
        <v>#REF!</v>
      </c>
      <c r="AJ147" s="148" t="e">
        <v>#REF!</v>
      </c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</row>
    <row r="148" ht="14.25" customHeight="1">
      <c r="A148" s="152" t="s">
        <v>13</v>
      </c>
      <c r="B148" s="135" t="s">
        <v>311</v>
      </c>
      <c r="C148" s="77">
        <v>46157.0</v>
      </c>
      <c r="D148" s="161" t="s">
        <v>317</v>
      </c>
      <c r="E148" s="60">
        <v>26.10662</v>
      </c>
      <c r="F148" s="60">
        <v>26.36343</v>
      </c>
      <c r="G148" s="62" t="s">
        <v>318</v>
      </c>
      <c r="H148" s="63" t="s">
        <v>34</v>
      </c>
      <c r="I148" s="155">
        <v>1.0</v>
      </c>
      <c r="J148" s="85">
        <v>49.02</v>
      </c>
      <c r="K148" s="80" t="s">
        <v>77</v>
      </c>
      <c r="L148" s="66" t="s">
        <v>319</v>
      </c>
      <c r="M148" s="156"/>
      <c r="N148" s="157"/>
      <c r="O148" s="87">
        <v>49.02</v>
      </c>
      <c r="P148" s="151" t="s">
        <v>153</v>
      </c>
      <c r="Q148" s="143" t="s">
        <v>154</v>
      </c>
      <c r="R148" s="74" t="s">
        <v>179</v>
      </c>
      <c r="S148" s="158"/>
      <c r="T148" s="146">
        <f t="shared" si="14"/>
        <v>0</v>
      </c>
      <c r="U148" s="146"/>
      <c r="V148" s="147" t="s">
        <v>38</v>
      </c>
      <c r="W148" s="74" t="b">
        <v>0</v>
      </c>
      <c r="X148" s="74" t="b">
        <v>0</v>
      </c>
      <c r="Y148" s="74" t="b">
        <v>1</v>
      </c>
      <c r="Z148" s="148" t="str">
        <f>IFERROR(__xludf.DUMMYFUNCTION("""COMPUTED_VALUE"""),"#REF!")</f>
        <v>#REF!</v>
      </c>
      <c r="AA148" s="148" t="str">
        <f>IFERROR(__xludf.DUMMYFUNCTION("""COMPUTED_VALUE"""),"#REF!")</f>
        <v>#REF!</v>
      </c>
      <c r="AB148" s="148" t="str">
        <f>IFERROR(__xludf.DUMMYFUNCTION("""COMPUTED_VALUE"""),"#REF!")</f>
        <v>#REF!</v>
      </c>
      <c r="AC148" s="153">
        <v>46157.0</v>
      </c>
      <c r="AD148" s="148"/>
      <c r="AE148" s="47" t="s">
        <v>317</v>
      </c>
      <c r="AF148" s="148" t="s">
        <v>320</v>
      </c>
      <c r="AG148" s="148"/>
      <c r="AH148" s="148" t="s">
        <v>318</v>
      </c>
      <c r="AI148" s="148" t="e">
        <v>#REF!</v>
      </c>
      <c r="AJ148" s="148" t="e">
        <v>#REF!</v>
      </c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</row>
    <row r="149" ht="14.25" customHeight="1">
      <c r="A149" s="152" t="s">
        <v>13</v>
      </c>
      <c r="B149" s="135" t="s">
        <v>311</v>
      </c>
      <c r="C149" s="77">
        <v>46157.0</v>
      </c>
      <c r="D149" s="161" t="s">
        <v>321</v>
      </c>
      <c r="E149" s="60">
        <v>26.10563</v>
      </c>
      <c r="F149" s="60">
        <v>26.36015</v>
      </c>
      <c r="G149" s="62" t="s">
        <v>322</v>
      </c>
      <c r="H149" s="63" t="s">
        <v>34</v>
      </c>
      <c r="I149" s="155">
        <v>1.0</v>
      </c>
      <c r="J149" s="85">
        <v>3.7</v>
      </c>
      <c r="K149" s="80" t="s">
        <v>57</v>
      </c>
      <c r="L149" s="66" t="s">
        <v>323</v>
      </c>
      <c r="M149" s="156"/>
      <c r="N149" s="157"/>
      <c r="O149" s="87">
        <v>3.7</v>
      </c>
      <c r="P149" s="151" t="s">
        <v>162</v>
      </c>
      <c r="Q149" s="143" t="s">
        <v>154</v>
      </c>
      <c r="R149" s="74" t="s">
        <v>179</v>
      </c>
      <c r="S149" s="158"/>
      <c r="T149" s="146">
        <f t="shared" si="14"/>
        <v>0</v>
      </c>
      <c r="U149" s="146"/>
      <c r="V149" s="147" t="s">
        <v>38</v>
      </c>
      <c r="W149" s="74" t="b">
        <v>0</v>
      </c>
      <c r="X149" s="74" t="b">
        <v>0</v>
      </c>
      <c r="Y149" s="74" t="b">
        <v>1</v>
      </c>
      <c r="Z149" s="148" t="str">
        <f>IFERROR(__xludf.DUMMYFUNCTION("""COMPUTED_VALUE"""),"#REF!")</f>
        <v>#REF!</v>
      </c>
      <c r="AA149" s="148" t="str">
        <f>IFERROR(__xludf.DUMMYFUNCTION("""COMPUTED_VALUE"""),"#REF!")</f>
        <v>#REF!</v>
      </c>
      <c r="AB149" s="148" t="str">
        <f>IFERROR(__xludf.DUMMYFUNCTION("""COMPUTED_VALUE"""),"#REF!")</f>
        <v>#REF!</v>
      </c>
      <c r="AC149" s="153">
        <v>46157.0</v>
      </c>
      <c r="AD149" s="148"/>
      <c r="AE149" s="47" t="s">
        <v>321</v>
      </c>
      <c r="AF149" s="148" t="s">
        <v>324</v>
      </c>
      <c r="AG149" s="148"/>
      <c r="AH149" s="148" t="s">
        <v>322</v>
      </c>
      <c r="AI149" s="148" t="e">
        <v>#REF!</v>
      </c>
      <c r="AJ149" s="148" t="e">
        <v>#REF!</v>
      </c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</row>
    <row r="150" ht="14.25" customHeight="1">
      <c r="A150" s="152" t="s">
        <v>13</v>
      </c>
      <c r="B150" s="135" t="s">
        <v>311</v>
      </c>
      <c r="C150" s="77">
        <v>46157.0</v>
      </c>
      <c r="D150" s="161" t="s">
        <v>325</v>
      </c>
      <c r="E150" s="60">
        <v>26.10564</v>
      </c>
      <c r="F150" s="60">
        <v>26.36021</v>
      </c>
      <c r="G150" s="62" t="s">
        <v>326</v>
      </c>
      <c r="H150" s="63" t="s">
        <v>34</v>
      </c>
      <c r="I150" s="155">
        <v>1.0</v>
      </c>
      <c r="J150" s="85">
        <v>3.97</v>
      </c>
      <c r="K150" s="80" t="s">
        <v>57</v>
      </c>
      <c r="L150" s="66" t="s">
        <v>327</v>
      </c>
      <c r="M150" s="156"/>
      <c r="N150" s="157"/>
      <c r="O150" s="87">
        <v>3.97</v>
      </c>
      <c r="P150" s="151" t="s">
        <v>162</v>
      </c>
      <c r="Q150" s="143" t="s">
        <v>154</v>
      </c>
      <c r="R150" s="74" t="s">
        <v>179</v>
      </c>
      <c r="S150" s="158"/>
      <c r="T150" s="146">
        <f t="shared" si="14"/>
        <v>0</v>
      </c>
      <c r="U150" s="146"/>
      <c r="V150" s="147" t="s">
        <v>38</v>
      </c>
      <c r="W150" s="74" t="b">
        <v>0</v>
      </c>
      <c r="X150" s="74" t="b">
        <v>0</v>
      </c>
      <c r="Y150" s="74" t="b">
        <v>1</v>
      </c>
      <c r="Z150" s="148" t="str">
        <f>IFERROR(__xludf.DUMMYFUNCTION("""COMPUTED_VALUE"""),"#REF!")</f>
        <v>#REF!</v>
      </c>
      <c r="AA150" s="148" t="str">
        <f>IFERROR(__xludf.DUMMYFUNCTION("""COMPUTED_VALUE"""),"#REF!")</f>
        <v>#REF!</v>
      </c>
      <c r="AB150" s="148" t="str">
        <f>IFERROR(__xludf.DUMMYFUNCTION("""COMPUTED_VALUE"""),"#REF!")</f>
        <v>#REF!</v>
      </c>
      <c r="AC150" s="153">
        <v>46157.0</v>
      </c>
      <c r="AD150" s="148"/>
      <c r="AE150" s="47" t="s">
        <v>325</v>
      </c>
      <c r="AF150" s="148" t="s">
        <v>328</v>
      </c>
      <c r="AG150" s="148"/>
      <c r="AH150" s="148" t="s">
        <v>326</v>
      </c>
      <c r="AI150" s="148" t="e">
        <v>#REF!</v>
      </c>
      <c r="AJ150" s="148" t="e">
        <v>#REF!</v>
      </c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</row>
    <row r="151" ht="14.25" customHeight="1">
      <c r="A151" s="152" t="s">
        <v>13</v>
      </c>
      <c r="B151" s="135" t="s">
        <v>311</v>
      </c>
      <c r="C151" s="77">
        <v>46157.0</v>
      </c>
      <c r="D151" s="161" t="s">
        <v>329</v>
      </c>
      <c r="E151" s="60">
        <v>26.10563</v>
      </c>
      <c r="F151" s="60">
        <v>26.36017</v>
      </c>
      <c r="G151" s="62" t="s">
        <v>330</v>
      </c>
      <c r="H151" s="63" t="s">
        <v>34</v>
      </c>
      <c r="I151" s="155">
        <v>1.0</v>
      </c>
      <c r="J151" s="85">
        <v>3.85</v>
      </c>
      <c r="K151" s="80" t="s">
        <v>57</v>
      </c>
      <c r="L151" s="66" t="s">
        <v>331</v>
      </c>
      <c r="M151" s="156"/>
      <c r="N151" s="157"/>
      <c r="O151" s="87">
        <v>3.85</v>
      </c>
      <c r="P151" s="151" t="s">
        <v>162</v>
      </c>
      <c r="Q151" s="143" t="s">
        <v>154</v>
      </c>
      <c r="R151" s="74" t="s">
        <v>179</v>
      </c>
      <c r="S151" s="158"/>
      <c r="T151" s="146">
        <f t="shared" si="14"/>
        <v>0</v>
      </c>
      <c r="U151" s="146"/>
      <c r="V151" s="147" t="s">
        <v>38</v>
      </c>
      <c r="W151" s="74" t="b">
        <v>0</v>
      </c>
      <c r="X151" s="74" t="b">
        <v>0</v>
      </c>
      <c r="Y151" s="74" t="b">
        <v>1</v>
      </c>
      <c r="Z151" s="148" t="str">
        <f>IFERROR(__xludf.DUMMYFUNCTION("""COMPUTED_VALUE"""),"#REF!")</f>
        <v>#REF!</v>
      </c>
      <c r="AA151" s="148" t="str">
        <f>IFERROR(__xludf.DUMMYFUNCTION("""COMPUTED_VALUE"""),"#REF!")</f>
        <v>#REF!</v>
      </c>
      <c r="AB151" s="148" t="str">
        <f>IFERROR(__xludf.DUMMYFUNCTION("""COMPUTED_VALUE"""),"#REF!")</f>
        <v>#REF!</v>
      </c>
      <c r="AC151" s="153">
        <v>46157.0</v>
      </c>
      <c r="AD151" s="148"/>
      <c r="AE151" s="47" t="s">
        <v>329</v>
      </c>
      <c r="AF151" s="148" t="s">
        <v>332</v>
      </c>
      <c r="AG151" s="148"/>
      <c r="AH151" s="148" t="s">
        <v>330</v>
      </c>
      <c r="AI151" s="148" t="e">
        <v>#REF!</v>
      </c>
      <c r="AJ151" s="148" t="e">
        <v>#REF!</v>
      </c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</row>
    <row r="152" ht="14.25" customHeight="1">
      <c r="A152" s="152" t="s">
        <v>13</v>
      </c>
      <c r="B152" s="135" t="s">
        <v>311</v>
      </c>
      <c r="C152" s="77">
        <v>46157.0</v>
      </c>
      <c r="D152" s="161" t="s">
        <v>333</v>
      </c>
      <c r="E152" s="60">
        <v>26.10583</v>
      </c>
      <c r="F152" s="162">
        <v>26.36026</v>
      </c>
      <c r="G152" s="62" t="s">
        <v>334</v>
      </c>
      <c r="H152" s="63" t="s">
        <v>34</v>
      </c>
      <c r="I152" s="155">
        <v>1.0</v>
      </c>
      <c r="J152" s="85">
        <v>5.66</v>
      </c>
      <c r="K152" s="80" t="s">
        <v>57</v>
      </c>
      <c r="L152" s="66" t="s">
        <v>335</v>
      </c>
      <c r="M152" s="156"/>
      <c r="N152" s="157"/>
      <c r="O152" s="87">
        <v>5.66</v>
      </c>
      <c r="P152" s="151" t="s">
        <v>162</v>
      </c>
      <c r="Q152" s="143" t="s">
        <v>163</v>
      </c>
      <c r="R152" s="74"/>
      <c r="S152" s="158"/>
      <c r="T152" s="146">
        <f t="shared" si="14"/>
        <v>0</v>
      </c>
      <c r="U152" s="146"/>
      <c r="V152" s="147" t="s">
        <v>38</v>
      </c>
      <c r="W152" s="74" t="b">
        <v>0</v>
      </c>
      <c r="X152" s="74" t="b">
        <v>0</v>
      </c>
      <c r="Y152" s="74" t="b">
        <v>1</v>
      </c>
      <c r="Z152" s="148" t="str">
        <f>IFERROR(__xludf.DUMMYFUNCTION("""COMPUTED_VALUE"""),"#REF!")</f>
        <v>#REF!</v>
      </c>
      <c r="AA152" s="148" t="str">
        <f>IFERROR(__xludf.DUMMYFUNCTION("""COMPUTED_VALUE"""),"#REF!")</f>
        <v>#REF!</v>
      </c>
      <c r="AB152" s="148" t="str">
        <f>IFERROR(__xludf.DUMMYFUNCTION("""COMPUTED_VALUE"""),"#REF!")</f>
        <v>#REF!</v>
      </c>
      <c r="AC152" s="153">
        <v>46157.0</v>
      </c>
      <c r="AD152" s="148"/>
      <c r="AE152" s="47" t="s">
        <v>333</v>
      </c>
      <c r="AF152" s="148" t="s">
        <v>336</v>
      </c>
      <c r="AG152" s="148"/>
      <c r="AH152" s="148" t="s">
        <v>334</v>
      </c>
      <c r="AI152" s="148" t="e">
        <v>#REF!</v>
      </c>
      <c r="AJ152" s="148" t="e">
        <v>#REF!</v>
      </c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</row>
    <row r="153" ht="14.25" customHeight="1">
      <c r="A153" s="152" t="s">
        <v>13</v>
      </c>
      <c r="B153" s="135" t="s">
        <v>311</v>
      </c>
      <c r="C153" s="77">
        <v>46157.0</v>
      </c>
      <c r="D153" s="161" t="s">
        <v>337</v>
      </c>
      <c r="E153" s="60">
        <v>25.9673</v>
      </c>
      <c r="F153" s="60">
        <v>25.33348</v>
      </c>
      <c r="G153" s="62" t="s">
        <v>338</v>
      </c>
      <c r="H153" s="63" t="s">
        <v>34</v>
      </c>
      <c r="I153" s="155">
        <v>1.0</v>
      </c>
      <c r="J153" s="85">
        <v>0.65</v>
      </c>
      <c r="K153" s="80" t="s">
        <v>68</v>
      </c>
      <c r="L153" s="66" t="s">
        <v>339</v>
      </c>
      <c r="M153" s="156"/>
      <c r="N153" s="157"/>
      <c r="O153" s="87">
        <v>0.65</v>
      </c>
      <c r="P153" s="151" t="s">
        <v>162</v>
      </c>
      <c r="Q153" s="143" t="s">
        <v>154</v>
      </c>
      <c r="R153" s="74" t="s">
        <v>179</v>
      </c>
      <c r="S153" s="158"/>
      <c r="T153" s="146">
        <f t="shared" si="14"/>
        <v>0</v>
      </c>
      <c r="U153" s="146"/>
      <c r="V153" s="147" t="s">
        <v>38</v>
      </c>
      <c r="W153" s="74" t="b">
        <v>0</v>
      </c>
      <c r="X153" s="74" t="b">
        <v>0</v>
      </c>
      <c r="Y153" s="74" t="b">
        <v>1</v>
      </c>
      <c r="Z153" s="148" t="str">
        <f>IFERROR(__xludf.DUMMYFUNCTION("""COMPUTED_VALUE"""),"#REF!")</f>
        <v>#REF!</v>
      </c>
      <c r="AA153" s="148" t="str">
        <f>IFERROR(__xludf.DUMMYFUNCTION("""COMPUTED_VALUE"""),"#REF!")</f>
        <v>#REF!</v>
      </c>
      <c r="AB153" s="148" t="str">
        <f>IFERROR(__xludf.DUMMYFUNCTION("""COMPUTED_VALUE"""),"#REF!")</f>
        <v>#REF!</v>
      </c>
      <c r="AC153" s="153">
        <v>46157.0</v>
      </c>
      <c r="AD153" s="148"/>
      <c r="AE153" s="47" t="s">
        <v>337</v>
      </c>
      <c r="AF153" s="148" t="s">
        <v>340</v>
      </c>
      <c r="AG153" s="148"/>
      <c r="AH153" s="148" t="s">
        <v>338</v>
      </c>
      <c r="AI153" s="148" t="e">
        <v>#REF!</v>
      </c>
      <c r="AJ153" s="148" t="e">
        <v>#REF!</v>
      </c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</row>
    <row r="154" ht="14.25" customHeight="1">
      <c r="A154" s="152" t="s">
        <v>13</v>
      </c>
      <c r="B154" s="135" t="s">
        <v>311</v>
      </c>
      <c r="C154" s="77">
        <v>46157.0</v>
      </c>
      <c r="D154" s="161" t="s">
        <v>341</v>
      </c>
      <c r="E154" s="60">
        <v>25.9673</v>
      </c>
      <c r="F154" s="60">
        <v>25.33349</v>
      </c>
      <c r="G154" s="62" t="s">
        <v>342</v>
      </c>
      <c r="H154" s="63" t="s">
        <v>34</v>
      </c>
      <c r="I154" s="155">
        <v>1.0</v>
      </c>
      <c r="J154" s="85">
        <v>0.64</v>
      </c>
      <c r="K154" s="80" t="s">
        <v>68</v>
      </c>
      <c r="L154" s="66" t="s">
        <v>343</v>
      </c>
      <c r="M154" s="156"/>
      <c r="N154" s="157"/>
      <c r="O154" s="87">
        <v>0.64</v>
      </c>
      <c r="P154" s="151" t="s">
        <v>162</v>
      </c>
      <c r="Q154" s="143" t="s">
        <v>154</v>
      </c>
      <c r="R154" s="74" t="s">
        <v>179</v>
      </c>
      <c r="S154" s="158"/>
      <c r="T154" s="146">
        <f t="shared" si="14"/>
        <v>0</v>
      </c>
      <c r="U154" s="146"/>
      <c r="V154" s="147" t="s">
        <v>38</v>
      </c>
      <c r="W154" s="74" t="b">
        <v>0</v>
      </c>
      <c r="X154" s="74" t="b">
        <v>0</v>
      </c>
      <c r="Y154" s="74" t="b">
        <v>1</v>
      </c>
      <c r="Z154" s="148" t="str">
        <f>IFERROR(__xludf.DUMMYFUNCTION("""COMPUTED_VALUE"""),"#REF!")</f>
        <v>#REF!</v>
      </c>
      <c r="AA154" s="148" t="str">
        <f>IFERROR(__xludf.DUMMYFUNCTION("""COMPUTED_VALUE"""),"#REF!")</f>
        <v>#REF!</v>
      </c>
      <c r="AB154" s="148" t="str">
        <f>IFERROR(__xludf.DUMMYFUNCTION("""COMPUTED_VALUE"""),"#REF!")</f>
        <v>#REF!</v>
      </c>
      <c r="AC154" s="153">
        <v>46157.0</v>
      </c>
      <c r="AD154" s="148"/>
      <c r="AE154" s="47" t="s">
        <v>341</v>
      </c>
      <c r="AF154" s="148" t="s">
        <v>344</v>
      </c>
      <c r="AG154" s="148"/>
      <c r="AH154" s="148" t="s">
        <v>342</v>
      </c>
      <c r="AI154" s="148" t="e">
        <v>#REF!</v>
      </c>
      <c r="AJ154" s="148" t="e">
        <v>#REF!</v>
      </c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</row>
    <row r="155" ht="14.25" customHeight="1">
      <c r="A155" s="152" t="s">
        <v>13</v>
      </c>
      <c r="B155" s="135" t="s">
        <v>311</v>
      </c>
      <c r="C155" s="77">
        <v>46157.0</v>
      </c>
      <c r="D155" s="161" t="s">
        <v>345</v>
      </c>
      <c r="E155" s="60">
        <v>25.9307</v>
      </c>
      <c r="F155" s="60">
        <v>25.3245</v>
      </c>
      <c r="G155" s="62" t="s">
        <v>346</v>
      </c>
      <c r="H155" s="63" t="s">
        <v>34</v>
      </c>
      <c r="I155" s="155">
        <v>1.0</v>
      </c>
      <c r="J155" s="85">
        <v>3.76</v>
      </c>
      <c r="K155" s="80" t="s">
        <v>177</v>
      </c>
      <c r="L155" s="66" t="s">
        <v>347</v>
      </c>
      <c r="M155" s="156"/>
      <c r="N155" s="157"/>
      <c r="O155" s="87">
        <v>3.76</v>
      </c>
      <c r="P155" s="151" t="s">
        <v>162</v>
      </c>
      <c r="Q155" s="143" t="s">
        <v>154</v>
      </c>
      <c r="R155" s="74" t="s">
        <v>179</v>
      </c>
      <c r="S155" s="158"/>
      <c r="T155" s="146">
        <f t="shared" si="14"/>
        <v>0</v>
      </c>
      <c r="U155" s="146"/>
      <c r="V155" s="147" t="s">
        <v>38</v>
      </c>
      <c r="W155" s="74" t="b">
        <v>0</v>
      </c>
      <c r="X155" s="74" t="b">
        <v>0</v>
      </c>
      <c r="Y155" s="74" t="b">
        <v>1</v>
      </c>
      <c r="Z155" s="148" t="str">
        <f>IFERROR(__xludf.DUMMYFUNCTION("""COMPUTED_VALUE"""),"#REF!")</f>
        <v>#REF!</v>
      </c>
      <c r="AA155" s="148" t="str">
        <f>IFERROR(__xludf.DUMMYFUNCTION("""COMPUTED_VALUE"""),"#REF!")</f>
        <v>#REF!</v>
      </c>
      <c r="AB155" s="148" t="str">
        <f>IFERROR(__xludf.DUMMYFUNCTION("""COMPUTED_VALUE"""),"#REF!")</f>
        <v>#REF!</v>
      </c>
      <c r="AC155" s="153">
        <v>46157.0</v>
      </c>
      <c r="AD155" s="148"/>
      <c r="AE155" s="47" t="s">
        <v>345</v>
      </c>
      <c r="AF155" s="148" t="s">
        <v>348</v>
      </c>
      <c r="AG155" s="148"/>
      <c r="AH155" s="148" t="s">
        <v>346</v>
      </c>
      <c r="AI155" s="148" t="e">
        <v>#REF!</v>
      </c>
      <c r="AJ155" s="148" t="e">
        <v>#REF!</v>
      </c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</row>
    <row r="156" ht="14.25" customHeight="1">
      <c r="A156" s="152" t="s">
        <v>13</v>
      </c>
      <c r="B156" s="135" t="s">
        <v>311</v>
      </c>
      <c r="C156" s="77">
        <v>46157.0</v>
      </c>
      <c r="D156" s="161" t="s">
        <v>349</v>
      </c>
      <c r="E156" s="60">
        <v>25.9307</v>
      </c>
      <c r="F156" s="60">
        <v>25.33768</v>
      </c>
      <c r="G156" s="62" t="s">
        <v>350</v>
      </c>
      <c r="H156" s="63" t="s">
        <v>34</v>
      </c>
      <c r="I156" s="155">
        <v>1.0</v>
      </c>
      <c r="J156" s="85">
        <v>3.8</v>
      </c>
      <c r="K156" s="80" t="s">
        <v>177</v>
      </c>
      <c r="L156" s="66" t="s">
        <v>351</v>
      </c>
      <c r="M156" s="156"/>
      <c r="N156" s="157"/>
      <c r="O156" s="87">
        <v>3.8</v>
      </c>
      <c r="P156" s="151" t="s">
        <v>162</v>
      </c>
      <c r="Q156" s="143" t="s">
        <v>154</v>
      </c>
      <c r="R156" s="74" t="s">
        <v>179</v>
      </c>
      <c r="S156" s="158"/>
      <c r="T156" s="146">
        <f t="shared" si="14"/>
        <v>0</v>
      </c>
      <c r="U156" s="146"/>
      <c r="V156" s="147" t="s">
        <v>38</v>
      </c>
      <c r="W156" s="74" t="b">
        <v>0</v>
      </c>
      <c r="X156" s="74" t="b">
        <v>0</v>
      </c>
      <c r="Y156" s="74" t="b">
        <v>1</v>
      </c>
      <c r="Z156" s="148" t="str">
        <f>IFERROR(__xludf.DUMMYFUNCTION("""COMPUTED_VALUE"""),"#REF!")</f>
        <v>#REF!</v>
      </c>
      <c r="AA156" s="148" t="str">
        <f>IFERROR(__xludf.DUMMYFUNCTION("""COMPUTED_VALUE"""),"#REF!")</f>
        <v>#REF!</v>
      </c>
      <c r="AB156" s="148" t="str">
        <f>IFERROR(__xludf.DUMMYFUNCTION("""COMPUTED_VALUE"""),"#REF!")</f>
        <v>#REF!</v>
      </c>
      <c r="AC156" s="153">
        <v>46157.0</v>
      </c>
      <c r="AD156" s="148"/>
      <c r="AE156" s="47" t="s">
        <v>349</v>
      </c>
      <c r="AF156" s="148" t="s">
        <v>352</v>
      </c>
      <c r="AG156" s="148"/>
      <c r="AH156" s="148" t="s">
        <v>350</v>
      </c>
      <c r="AI156" s="148" t="e">
        <v>#REF!</v>
      </c>
      <c r="AJ156" s="148" t="e">
        <v>#REF!</v>
      </c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</row>
    <row r="157" ht="14.25" customHeight="1">
      <c r="A157" s="152" t="s">
        <v>13</v>
      </c>
      <c r="B157" s="135" t="s">
        <v>353</v>
      </c>
      <c r="C157" s="77">
        <v>46158.0</v>
      </c>
      <c r="D157" s="161" t="s">
        <v>354</v>
      </c>
      <c r="E157" s="60">
        <v>26.10506</v>
      </c>
      <c r="F157" s="60">
        <v>26.36079</v>
      </c>
      <c r="G157" s="62" t="s">
        <v>355</v>
      </c>
      <c r="H157" s="160" t="s">
        <v>356</v>
      </c>
      <c r="I157" s="155">
        <v>1.0</v>
      </c>
      <c r="J157" s="85">
        <v>4.45</v>
      </c>
      <c r="K157" s="80" t="s">
        <v>57</v>
      </c>
      <c r="L157" s="66" t="s">
        <v>357</v>
      </c>
      <c r="M157" s="156"/>
      <c r="N157" s="157"/>
      <c r="O157" s="87">
        <v>4.45</v>
      </c>
      <c r="P157" s="151" t="s">
        <v>153</v>
      </c>
      <c r="Q157" s="143" t="s">
        <v>154</v>
      </c>
      <c r="R157" s="74" t="s">
        <v>179</v>
      </c>
      <c r="S157" s="158"/>
      <c r="T157" s="146">
        <f t="shared" si="14"/>
        <v>0</v>
      </c>
      <c r="U157" s="146"/>
      <c r="V157" s="147" t="s">
        <v>38</v>
      </c>
      <c r="W157" s="74" t="b">
        <v>0</v>
      </c>
      <c r="X157" s="74" t="b">
        <v>0</v>
      </c>
      <c r="Y157" s="74" t="b">
        <v>1</v>
      </c>
      <c r="Z157" s="148" t="str">
        <f>IFERROR(__xludf.DUMMYFUNCTION("""COMPUTED_VALUE"""),"#REF!")</f>
        <v>#REF!</v>
      </c>
      <c r="AA157" s="148" t="str">
        <f>IFERROR(__xludf.DUMMYFUNCTION("""COMPUTED_VALUE"""),"#REF!")</f>
        <v>#REF!</v>
      </c>
      <c r="AB157" s="148" t="str">
        <f>IFERROR(__xludf.DUMMYFUNCTION("""COMPUTED_VALUE"""),"#REF!")</f>
        <v>#REF!</v>
      </c>
      <c r="AC157" s="153">
        <v>46158.0</v>
      </c>
      <c r="AD157" s="148"/>
      <c r="AE157" s="47" t="s">
        <v>354</v>
      </c>
      <c r="AF157" s="148" t="s">
        <v>358</v>
      </c>
      <c r="AG157" s="148"/>
      <c r="AH157" s="148" t="s">
        <v>355</v>
      </c>
      <c r="AI157" s="148" t="e">
        <v>#REF!</v>
      </c>
      <c r="AJ157" s="148" t="e">
        <v>#REF!</v>
      </c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</row>
    <row r="158" ht="14.25" customHeight="1">
      <c r="A158" s="152" t="s">
        <v>13</v>
      </c>
      <c r="B158" s="135" t="s">
        <v>353</v>
      </c>
      <c r="C158" s="77">
        <v>46158.0</v>
      </c>
      <c r="D158" s="161" t="s">
        <v>359</v>
      </c>
      <c r="E158" s="60">
        <v>26.10561</v>
      </c>
      <c r="F158" s="162">
        <v>26.35981</v>
      </c>
      <c r="G158" s="62" t="s">
        <v>360</v>
      </c>
      <c r="H158" s="63" t="s">
        <v>45</v>
      </c>
      <c r="I158" s="155">
        <v>1.0</v>
      </c>
      <c r="J158" s="85">
        <v>4.24</v>
      </c>
      <c r="K158" s="80" t="s">
        <v>57</v>
      </c>
      <c r="L158" s="66" t="s">
        <v>361</v>
      </c>
      <c r="M158" s="156"/>
      <c r="N158" s="157"/>
      <c r="O158" s="87">
        <v>4.24</v>
      </c>
      <c r="P158" s="151" t="s">
        <v>162</v>
      </c>
      <c r="Q158" s="143" t="s">
        <v>163</v>
      </c>
      <c r="R158" s="74"/>
      <c r="S158" s="158"/>
      <c r="T158" s="146">
        <f t="shared" si="14"/>
        <v>0</v>
      </c>
      <c r="U158" s="146"/>
      <c r="V158" s="147" t="s">
        <v>38</v>
      </c>
      <c r="W158" s="74" t="b">
        <v>0</v>
      </c>
      <c r="X158" s="74" t="b">
        <v>0</v>
      </c>
      <c r="Y158" s="74" t="b">
        <v>1</v>
      </c>
      <c r="Z158" s="148" t="str">
        <f>IFERROR(__xludf.DUMMYFUNCTION("""COMPUTED_VALUE"""),"#REF!")</f>
        <v>#REF!</v>
      </c>
      <c r="AA158" s="148" t="str">
        <f>IFERROR(__xludf.DUMMYFUNCTION("""COMPUTED_VALUE"""),"#REF!")</f>
        <v>#REF!</v>
      </c>
      <c r="AB158" s="148" t="str">
        <f>IFERROR(__xludf.DUMMYFUNCTION("""COMPUTED_VALUE"""),"#REF!")</f>
        <v>#REF!</v>
      </c>
      <c r="AC158" s="153">
        <v>46158.0</v>
      </c>
      <c r="AD158" s="148"/>
      <c r="AE158" s="47" t="s">
        <v>359</v>
      </c>
      <c r="AF158" s="148" t="s">
        <v>362</v>
      </c>
      <c r="AG158" s="148"/>
      <c r="AH158" s="148" t="s">
        <v>360</v>
      </c>
      <c r="AI158" s="148" t="e">
        <v>#REF!</v>
      </c>
      <c r="AJ158" s="148" t="e">
        <v>#REF!</v>
      </c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</row>
    <row r="159" ht="14.25" customHeight="1">
      <c r="A159" s="152" t="s">
        <v>13</v>
      </c>
      <c r="B159" s="135" t="s">
        <v>353</v>
      </c>
      <c r="C159" s="77">
        <v>46158.0</v>
      </c>
      <c r="D159" s="161" t="s">
        <v>363</v>
      </c>
      <c r="E159" s="60">
        <v>26.10562</v>
      </c>
      <c r="F159" s="162">
        <v>26.35984</v>
      </c>
      <c r="G159" s="62" t="s">
        <v>364</v>
      </c>
      <c r="H159" s="63" t="s">
        <v>45</v>
      </c>
      <c r="I159" s="155">
        <v>1.0</v>
      </c>
      <c r="J159" s="85">
        <v>4.24</v>
      </c>
      <c r="K159" s="80" t="s">
        <v>57</v>
      </c>
      <c r="L159" s="66" t="s">
        <v>365</v>
      </c>
      <c r="M159" s="156"/>
      <c r="N159" s="157"/>
      <c r="O159" s="87">
        <v>4.24</v>
      </c>
      <c r="P159" s="151" t="s">
        <v>162</v>
      </c>
      <c r="Q159" s="143" t="s">
        <v>163</v>
      </c>
      <c r="R159" s="74"/>
      <c r="S159" s="158"/>
      <c r="T159" s="146">
        <f t="shared" si="14"/>
        <v>0</v>
      </c>
      <c r="U159" s="146"/>
      <c r="V159" s="147" t="s">
        <v>38</v>
      </c>
      <c r="W159" s="74" t="b">
        <v>0</v>
      </c>
      <c r="X159" s="74" t="b">
        <v>0</v>
      </c>
      <c r="Y159" s="74" t="b">
        <v>1</v>
      </c>
      <c r="Z159" s="148" t="str">
        <f>IFERROR(__xludf.DUMMYFUNCTION("""COMPUTED_VALUE"""),"#REF!")</f>
        <v>#REF!</v>
      </c>
      <c r="AA159" s="148" t="str">
        <f>IFERROR(__xludf.DUMMYFUNCTION("""COMPUTED_VALUE"""),"#REF!")</f>
        <v>#REF!</v>
      </c>
      <c r="AB159" s="148" t="str">
        <f>IFERROR(__xludf.DUMMYFUNCTION("""COMPUTED_VALUE"""),"#REF!")</f>
        <v>#REF!</v>
      </c>
      <c r="AC159" s="153">
        <v>46158.0</v>
      </c>
      <c r="AD159" s="148"/>
      <c r="AE159" s="47" t="s">
        <v>363</v>
      </c>
      <c r="AF159" s="148" t="s">
        <v>366</v>
      </c>
      <c r="AG159" s="148"/>
      <c r="AH159" s="148" t="s">
        <v>364</v>
      </c>
      <c r="AI159" s="148" t="e">
        <v>#REF!</v>
      </c>
      <c r="AJ159" s="148" t="e">
        <v>#REF!</v>
      </c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</row>
    <row r="160" ht="14.25" customHeight="1">
      <c r="A160" s="152" t="s">
        <v>13</v>
      </c>
      <c r="B160" s="135" t="s">
        <v>353</v>
      </c>
      <c r="C160" s="77">
        <v>46158.0</v>
      </c>
      <c r="D160" s="161" t="s">
        <v>367</v>
      </c>
      <c r="E160" s="60">
        <v>26.10562</v>
      </c>
      <c r="F160" s="60">
        <v>26.35986</v>
      </c>
      <c r="G160" s="62" t="s">
        <v>368</v>
      </c>
      <c r="H160" s="63" t="s">
        <v>45</v>
      </c>
      <c r="I160" s="155">
        <v>1.0</v>
      </c>
      <c r="J160" s="85">
        <v>4.04</v>
      </c>
      <c r="K160" s="80" t="s">
        <v>57</v>
      </c>
      <c r="L160" s="66" t="s">
        <v>369</v>
      </c>
      <c r="M160" s="156"/>
      <c r="N160" s="157"/>
      <c r="O160" s="87">
        <v>4.04</v>
      </c>
      <c r="P160" s="151" t="s">
        <v>162</v>
      </c>
      <c r="Q160" s="143" t="s">
        <v>163</v>
      </c>
      <c r="R160" s="74"/>
      <c r="S160" s="158"/>
      <c r="T160" s="146">
        <f t="shared" si="14"/>
        <v>0</v>
      </c>
      <c r="U160" s="146"/>
      <c r="V160" s="147" t="s">
        <v>38</v>
      </c>
      <c r="W160" s="74" t="b">
        <v>0</v>
      </c>
      <c r="X160" s="74" t="b">
        <v>0</v>
      </c>
      <c r="Y160" s="74" t="b">
        <v>1</v>
      </c>
      <c r="Z160" s="148" t="str">
        <f>IFERROR(__xludf.DUMMYFUNCTION("""COMPUTED_VALUE"""),"#REF!")</f>
        <v>#REF!</v>
      </c>
      <c r="AA160" s="148" t="str">
        <f>IFERROR(__xludf.DUMMYFUNCTION("""COMPUTED_VALUE"""),"#REF!")</f>
        <v>#REF!</v>
      </c>
      <c r="AB160" s="148" t="str">
        <f>IFERROR(__xludf.DUMMYFUNCTION("""COMPUTED_VALUE"""),"#REF!")</f>
        <v>#REF!</v>
      </c>
      <c r="AC160" s="153">
        <v>46158.0</v>
      </c>
      <c r="AD160" s="148"/>
      <c r="AE160" s="47" t="s">
        <v>367</v>
      </c>
      <c r="AF160" s="148" t="s">
        <v>370</v>
      </c>
      <c r="AG160" s="148"/>
      <c r="AH160" s="148" t="s">
        <v>368</v>
      </c>
      <c r="AI160" s="148" t="e">
        <v>#REF!</v>
      </c>
      <c r="AJ160" s="148" t="e">
        <v>#REF!</v>
      </c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</row>
    <row r="161" ht="14.25" customHeight="1">
      <c r="A161" s="152" t="s">
        <v>13</v>
      </c>
      <c r="B161" s="135" t="s">
        <v>353</v>
      </c>
      <c r="C161" s="77">
        <v>46158.0</v>
      </c>
      <c r="D161" s="161" t="s">
        <v>371</v>
      </c>
      <c r="E161" s="60">
        <v>26.10563</v>
      </c>
      <c r="F161" s="60">
        <v>26.36014</v>
      </c>
      <c r="G161" s="62" t="s">
        <v>372</v>
      </c>
      <c r="H161" s="63" t="s">
        <v>45</v>
      </c>
      <c r="I161" s="155">
        <v>1.0</v>
      </c>
      <c r="J161" s="85">
        <v>3.72</v>
      </c>
      <c r="K161" s="80" t="s">
        <v>57</v>
      </c>
      <c r="L161" s="66" t="s">
        <v>373</v>
      </c>
      <c r="M161" s="156"/>
      <c r="N161" s="157"/>
      <c r="O161" s="87">
        <v>3.72</v>
      </c>
      <c r="P161" s="151" t="s">
        <v>162</v>
      </c>
      <c r="Q161" s="143" t="s">
        <v>154</v>
      </c>
      <c r="R161" s="74" t="s">
        <v>179</v>
      </c>
      <c r="S161" s="158"/>
      <c r="T161" s="146">
        <f t="shared" si="14"/>
        <v>0</v>
      </c>
      <c r="U161" s="146"/>
      <c r="V161" s="147" t="s">
        <v>38</v>
      </c>
      <c r="W161" s="74" t="b">
        <v>0</v>
      </c>
      <c r="X161" s="74" t="b">
        <v>0</v>
      </c>
      <c r="Y161" s="74" t="b">
        <v>1</v>
      </c>
      <c r="Z161" s="148" t="str">
        <f>IFERROR(__xludf.DUMMYFUNCTION("""COMPUTED_VALUE"""),"#REF!")</f>
        <v>#REF!</v>
      </c>
      <c r="AA161" s="148" t="str">
        <f>IFERROR(__xludf.DUMMYFUNCTION("""COMPUTED_VALUE"""),"#REF!")</f>
        <v>#REF!</v>
      </c>
      <c r="AB161" s="148" t="str">
        <f>IFERROR(__xludf.DUMMYFUNCTION("""COMPUTED_VALUE"""),"#REF!")</f>
        <v>#REF!</v>
      </c>
      <c r="AC161" s="153">
        <v>46158.0</v>
      </c>
      <c r="AD161" s="148"/>
      <c r="AE161" s="47" t="s">
        <v>371</v>
      </c>
      <c r="AF161" s="148" t="s">
        <v>374</v>
      </c>
      <c r="AG161" s="148"/>
      <c r="AH161" s="148" t="s">
        <v>372</v>
      </c>
      <c r="AI161" s="148" t="e">
        <v>#REF!</v>
      </c>
      <c r="AJ161" s="148" t="e">
        <v>#REF!</v>
      </c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</row>
    <row r="162" ht="14.25" customHeight="1">
      <c r="A162" s="152" t="s">
        <v>13</v>
      </c>
      <c r="B162" s="135" t="s">
        <v>353</v>
      </c>
      <c r="C162" s="77">
        <v>46158.0</v>
      </c>
      <c r="D162" s="161" t="s">
        <v>375</v>
      </c>
      <c r="E162" s="60">
        <v>26.10561</v>
      </c>
      <c r="F162" s="60">
        <v>26.3598</v>
      </c>
      <c r="G162" s="62" t="s">
        <v>376</v>
      </c>
      <c r="H162" s="63" t="s">
        <v>34</v>
      </c>
      <c r="I162" s="155">
        <v>1.0</v>
      </c>
      <c r="J162" s="85">
        <v>4.08</v>
      </c>
      <c r="K162" s="80" t="s">
        <v>57</v>
      </c>
      <c r="L162" s="66" t="s">
        <v>377</v>
      </c>
      <c r="M162" s="156"/>
      <c r="N162" s="157"/>
      <c r="O162" s="87">
        <v>4.08</v>
      </c>
      <c r="P162" s="151" t="s">
        <v>162</v>
      </c>
      <c r="Q162" s="143" t="s">
        <v>163</v>
      </c>
      <c r="R162" s="74"/>
      <c r="S162" s="158"/>
      <c r="T162" s="146">
        <f t="shared" si="14"/>
        <v>0</v>
      </c>
      <c r="U162" s="146"/>
      <c r="V162" s="147" t="s">
        <v>38</v>
      </c>
      <c r="W162" s="74" t="b">
        <v>0</v>
      </c>
      <c r="X162" s="74" t="b">
        <v>0</v>
      </c>
      <c r="Y162" s="74" t="b">
        <v>1</v>
      </c>
      <c r="Z162" s="148" t="str">
        <f>IFERROR(__xludf.DUMMYFUNCTION("""COMPUTED_VALUE"""),"#REF!")</f>
        <v>#REF!</v>
      </c>
      <c r="AA162" s="148" t="str">
        <f>IFERROR(__xludf.DUMMYFUNCTION("""COMPUTED_VALUE"""),"#REF!")</f>
        <v>#REF!</v>
      </c>
      <c r="AB162" s="148" t="str">
        <f>IFERROR(__xludf.DUMMYFUNCTION("""COMPUTED_VALUE"""),"#REF!")</f>
        <v>#REF!</v>
      </c>
      <c r="AC162" s="153">
        <v>46158.0</v>
      </c>
      <c r="AD162" s="148"/>
      <c r="AE162" s="47" t="s">
        <v>375</v>
      </c>
      <c r="AF162" s="148" t="s">
        <v>378</v>
      </c>
      <c r="AG162" s="148"/>
      <c r="AH162" s="148" t="s">
        <v>376</v>
      </c>
      <c r="AI162" s="148" t="e">
        <v>#REF!</v>
      </c>
      <c r="AJ162" s="148" t="e">
        <v>#REF!</v>
      </c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</row>
    <row r="163" ht="14.25" customHeight="1">
      <c r="A163" s="152" t="s">
        <v>13</v>
      </c>
      <c r="B163" s="135" t="s">
        <v>353</v>
      </c>
      <c r="C163" s="77">
        <v>46158.0</v>
      </c>
      <c r="D163" s="161" t="s">
        <v>379</v>
      </c>
      <c r="E163" s="60">
        <v>26.10561</v>
      </c>
      <c r="F163" s="60">
        <v>26.35983</v>
      </c>
      <c r="G163" s="62" t="s">
        <v>380</v>
      </c>
      <c r="H163" s="63" t="s">
        <v>34</v>
      </c>
      <c r="I163" s="155">
        <v>1.0</v>
      </c>
      <c r="J163" s="85">
        <v>3.66</v>
      </c>
      <c r="K163" s="80" t="s">
        <v>57</v>
      </c>
      <c r="L163" s="66" t="s">
        <v>381</v>
      </c>
      <c r="M163" s="156"/>
      <c r="N163" s="157"/>
      <c r="O163" s="87">
        <v>3.66</v>
      </c>
      <c r="P163" s="151" t="s">
        <v>162</v>
      </c>
      <c r="Q163" s="143" t="s">
        <v>154</v>
      </c>
      <c r="R163" s="74" t="s">
        <v>179</v>
      </c>
      <c r="S163" s="158"/>
      <c r="T163" s="146">
        <f t="shared" si="14"/>
        <v>0</v>
      </c>
      <c r="U163" s="146"/>
      <c r="V163" s="147" t="s">
        <v>38</v>
      </c>
      <c r="W163" s="74" t="b">
        <v>0</v>
      </c>
      <c r="X163" s="74" t="b">
        <v>0</v>
      </c>
      <c r="Y163" s="74" t="b">
        <v>1</v>
      </c>
      <c r="Z163" s="148" t="str">
        <f>IFERROR(__xludf.DUMMYFUNCTION("""COMPUTED_VALUE"""),"#REF!")</f>
        <v>#REF!</v>
      </c>
      <c r="AA163" s="148" t="str">
        <f>IFERROR(__xludf.DUMMYFUNCTION("""COMPUTED_VALUE"""),"#REF!")</f>
        <v>#REF!</v>
      </c>
      <c r="AB163" s="148" t="str">
        <f>IFERROR(__xludf.DUMMYFUNCTION("""COMPUTED_VALUE"""),"#REF!")</f>
        <v>#REF!</v>
      </c>
      <c r="AC163" s="153">
        <v>46158.0</v>
      </c>
      <c r="AD163" s="148"/>
      <c r="AE163" s="47" t="s">
        <v>379</v>
      </c>
      <c r="AF163" s="148" t="s">
        <v>382</v>
      </c>
      <c r="AG163" s="148"/>
      <c r="AH163" s="148" t="s">
        <v>380</v>
      </c>
      <c r="AI163" s="148" t="e">
        <v>#REF!</v>
      </c>
      <c r="AJ163" s="148" t="e">
        <v>#REF!</v>
      </c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</row>
    <row r="164" ht="14.25" customHeight="1">
      <c r="A164" s="152" t="s">
        <v>13</v>
      </c>
      <c r="B164" s="135" t="s">
        <v>353</v>
      </c>
      <c r="C164" s="77">
        <v>46158.0</v>
      </c>
      <c r="D164" s="161" t="s">
        <v>383</v>
      </c>
      <c r="E164" s="60">
        <v>26.10562</v>
      </c>
      <c r="F164" s="60">
        <v>26.35987</v>
      </c>
      <c r="G164" s="62" t="s">
        <v>384</v>
      </c>
      <c r="H164" s="63" t="s">
        <v>34</v>
      </c>
      <c r="I164" s="155">
        <v>1.0</v>
      </c>
      <c r="J164" s="85">
        <v>3.84</v>
      </c>
      <c r="K164" s="80" t="s">
        <v>57</v>
      </c>
      <c r="L164" s="66" t="s">
        <v>385</v>
      </c>
      <c r="M164" s="156"/>
      <c r="N164" s="157"/>
      <c r="O164" s="87">
        <v>3.84</v>
      </c>
      <c r="P164" s="151" t="s">
        <v>162</v>
      </c>
      <c r="Q164" s="143" t="s">
        <v>154</v>
      </c>
      <c r="R164" s="74" t="s">
        <v>179</v>
      </c>
      <c r="S164" s="158"/>
      <c r="T164" s="146">
        <f t="shared" si="14"/>
        <v>0</v>
      </c>
      <c r="U164" s="146"/>
      <c r="V164" s="147" t="s">
        <v>38</v>
      </c>
      <c r="W164" s="74" t="b">
        <v>0</v>
      </c>
      <c r="X164" s="74" t="b">
        <v>0</v>
      </c>
      <c r="Y164" s="74" t="b">
        <v>1</v>
      </c>
      <c r="Z164" s="148" t="str">
        <f>IFERROR(__xludf.DUMMYFUNCTION("""COMPUTED_VALUE"""),"#REF!")</f>
        <v>#REF!</v>
      </c>
      <c r="AA164" s="148" t="str">
        <f>IFERROR(__xludf.DUMMYFUNCTION("""COMPUTED_VALUE"""),"#REF!")</f>
        <v>#REF!</v>
      </c>
      <c r="AB164" s="148" t="str">
        <f>IFERROR(__xludf.DUMMYFUNCTION("""COMPUTED_VALUE"""),"#REF!")</f>
        <v>#REF!</v>
      </c>
      <c r="AC164" s="153">
        <v>46158.0</v>
      </c>
      <c r="AD164" s="148"/>
      <c r="AE164" s="47" t="s">
        <v>383</v>
      </c>
      <c r="AF164" s="148" t="s">
        <v>386</v>
      </c>
      <c r="AG164" s="148"/>
      <c r="AH164" s="148" t="s">
        <v>384</v>
      </c>
      <c r="AI164" s="148" t="e">
        <v>#REF!</v>
      </c>
      <c r="AJ164" s="148" t="e">
        <v>#REF!</v>
      </c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</row>
    <row r="165" ht="14.25" customHeight="1">
      <c r="A165" s="152" t="s">
        <v>13</v>
      </c>
      <c r="B165" s="135" t="s">
        <v>353</v>
      </c>
      <c r="C165" s="77">
        <v>46158.0</v>
      </c>
      <c r="D165" s="161" t="s">
        <v>387</v>
      </c>
      <c r="E165" s="60">
        <v>26.10564</v>
      </c>
      <c r="F165" s="60">
        <v>26.36019</v>
      </c>
      <c r="G165" s="62" t="s">
        <v>388</v>
      </c>
      <c r="H165" s="63" t="s">
        <v>34</v>
      </c>
      <c r="I165" s="155">
        <v>1.0</v>
      </c>
      <c r="J165" s="85">
        <v>3.49</v>
      </c>
      <c r="K165" s="80" t="s">
        <v>57</v>
      </c>
      <c r="L165" s="66" t="s">
        <v>389</v>
      </c>
      <c r="M165" s="156"/>
      <c r="N165" s="157"/>
      <c r="O165" s="87">
        <v>3.49</v>
      </c>
      <c r="P165" s="151" t="s">
        <v>162</v>
      </c>
      <c r="Q165" s="143" t="s">
        <v>154</v>
      </c>
      <c r="R165" s="74" t="s">
        <v>179</v>
      </c>
      <c r="S165" s="158"/>
      <c r="T165" s="146">
        <f t="shared" si="14"/>
        <v>0</v>
      </c>
      <c r="U165" s="146"/>
      <c r="V165" s="147" t="s">
        <v>38</v>
      </c>
      <c r="W165" s="74" t="b">
        <v>0</v>
      </c>
      <c r="X165" s="74" t="b">
        <v>0</v>
      </c>
      <c r="Y165" s="74" t="b">
        <v>1</v>
      </c>
      <c r="Z165" s="148" t="str">
        <f>IFERROR(__xludf.DUMMYFUNCTION("""COMPUTED_VALUE"""),"#REF!")</f>
        <v>#REF!</v>
      </c>
      <c r="AA165" s="148" t="str">
        <f>IFERROR(__xludf.DUMMYFUNCTION("""COMPUTED_VALUE"""),"#REF!")</f>
        <v>#REF!</v>
      </c>
      <c r="AB165" s="148" t="str">
        <f>IFERROR(__xludf.DUMMYFUNCTION("""COMPUTED_VALUE"""),"#REF!")</f>
        <v>#REF!</v>
      </c>
      <c r="AC165" s="153">
        <v>46158.0</v>
      </c>
      <c r="AD165" s="148"/>
      <c r="AE165" s="47" t="s">
        <v>387</v>
      </c>
      <c r="AF165" s="148" t="s">
        <v>390</v>
      </c>
      <c r="AG165" s="148"/>
      <c r="AH165" s="148" t="s">
        <v>388</v>
      </c>
      <c r="AI165" s="148" t="e">
        <v>#REF!</v>
      </c>
      <c r="AJ165" s="148" t="e">
        <v>#REF!</v>
      </c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</row>
    <row r="166" ht="14.25" customHeight="1">
      <c r="A166" s="152" t="s">
        <v>13</v>
      </c>
      <c r="B166" s="135" t="s">
        <v>353</v>
      </c>
      <c r="C166" s="77">
        <v>46158.0</v>
      </c>
      <c r="D166" s="161" t="s">
        <v>391</v>
      </c>
      <c r="E166" s="60">
        <v>26.10416</v>
      </c>
      <c r="F166" s="60">
        <v>26.35527</v>
      </c>
      <c r="G166" s="62" t="s">
        <v>392</v>
      </c>
      <c r="H166" s="63" t="s">
        <v>45</v>
      </c>
      <c r="I166" s="155">
        <v>1.0</v>
      </c>
      <c r="J166" s="85">
        <v>3.26</v>
      </c>
      <c r="K166" s="80" t="s">
        <v>46</v>
      </c>
      <c r="L166" s="66" t="s">
        <v>393</v>
      </c>
      <c r="M166" s="156">
        <v>36.0</v>
      </c>
      <c r="N166" s="157">
        <v>0.6410000000000001</v>
      </c>
      <c r="O166" s="87">
        <v>3.1317999999999997</v>
      </c>
      <c r="P166" s="151" t="s">
        <v>162</v>
      </c>
      <c r="Q166" s="143" t="s">
        <v>163</v>
      </c>
      <c r="R166" s="74"/>
      <c r="S166" s="158"/>
      <c r="T166" s="146">
        <f t="shared" si="14"/>
        <v>0</v>
      </c>
      <c r="U166" s="146"/>
      <c r="V166" s="147" t="s">
        <v>38</v>
      </c>
      <c r="W166" s="74" t="b">
        <v>1</v>
      </c>
      <c r="X166" s="74" t="b">
        <v>0</v>
      </c>
      <c r="Y166" s="74" t="b">
        <v>1</v>
      </c>
      <c r="Z166" s="148" t="str">
        <f>IFERROR(__xludf.DUMMYFUNCTION("""COMPUTED_VALUE"""),"#REF!")</f>
        <v>#REF!</v>
      </c>
      <c r="AA166" s="148" t="str">
        <f>IFERROR(__xludf.DUMMYFUNCTION("""COMPUTED_VALUE"""),"#REF!")</f>
        <v>#REF!</v>
      </c>
      <c r="AB166" s="148" t="str">
        <f>IFERROR(__xludf.DUMMYFUNCTION("""COMPUTED_VALUE"""),"#REF!")</f>
        <v>#REF!</v>
      </c>
      <c r="AC166" s="153">
        <v>46158.0</v>
      </c>
      <c r="AD166" s="148"/>
      <c r="AE166" s="47" t="s">
        <v>391</v>
      </c>
      <c r="AF166" s="148" t="s">
        <v>394</v>
      </c>
      <c r="AG166" s="148"/>
      <c r="AH166" s="148" t="s">
        <v>392</v>
      </c>
      <c r="AI166" s="148" t="e">
        <v>#REF!</v>
      </c>
      <c r="AJ166" s="148" t="e">
        <v>#REF!</v>
      </c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</row>
    <row r="167" ht="14.25" customHeight="1">
      <c r="A167" s="152" t="s">
        <v>13</v>
      </c>
      <c r="B167" s="135" t="s">
        <v>353</v>
      </c>
      <c r="C167" s="77">
        <v>46158.0</v>
      </c>
      <c r="D167" s="161" t="s">
        <v>395</v>
      </c>
      <c r="E167" s="60">
        <v>25.10228</v>
      </c>
      <c r="F167" s="60">
        <v>25.34822</v>
      </c>
      <c r="G167" s="62" t="s">
        <v>396</v>
      </c>
      <c r="H167" s="63" t="s">
        <v>45</v>
      </c>
      <c r="I167" s="155">
        <v>1.0</v>
      </c>
      <c r="J167" s="85">
        <v>2.81</v>
      </c>
      <c r="K167" s="80" t="s">
        <v>63</v>
      </c>
      <c r="L167" s="66" t="s">
        <v>397</v>
      </c>
      <c r="M167" s="156">
        <v>20.0</v>
      </c>
      <c r="N167" s="157">
        <v>0.128</v>
      </c>
      <c r="O167" s="87">
        <v>2.7844</v>
      </c>
      <c r="P167" s="151" t="s">
        <v>162</v>
      </c>
      <c r="Q167" s="143" t="s">
        <v>154</v>
      </c>
      <c r="R167" s="74" t="s">
        <v>179</v>
      </c>
      <c r="S167" s="158"/>
      <c r="T167" s="146">
        <f t="shared" si="14"/>
        <v>0</v>
      </c>
      <c r="U167" s="146"/>
      <c r="V167" s="147" t="s">
        <v>38</v>
      </c>
      <c r="W167" s="74" t="b">
        <v>1</v>
      </c>
      <c r="X167" s="74" t="b">
        <v>0</v>
      </c>
      <c r="Y167" s="74" t="b">
        <v>1</v>
      </c>
      <c r="Z167" s="148" t="str">
        <f>IFERROR(__xludf.DUMMYFUNCTION("""COMPUTED_VALUE"""),"#REF!")</f>
        <v>#REF!</v>
      </c>
      <c r="AA167" s="148" t="str">
        <f>IFERROR(__xludf.DUMMYFUNCTION("""COMPUTED_VALUE"""),"#REF!")</f>
        <v>#REF!</v>
      </c>
      <c r="AB167" s="148" t="str">
        <f>IFERROR(__xludf.DUMMYFUNCTION("""COMPUTED_VALUE"""),"#REF!")</f>
        <v>#REF!</v>
      </c>
      <c r="AC167" s="153">
        <v>46158.0</v>
      </c>
      <c r="AD167" s="148"/>
      <c r="AE167" s="47" t="s">
        <v>395</v>
      </c>
      <c r="AF167" s="148" t="s">
        <v>398</v>
      </c>
      <c r="AG167" s="148"/>
      <c r="AH167" s="148" t="s">
        <v>396</v>
      </c>
      <c r="AI167" s="148" t="e">
        <v>#REF!</v>
      </c>
      <c r="AJ167" s="148" t="e">
        <v>#REF!</v>
      </c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</row>
    <row r="168" ht="14.25" customHeight="1">
      <c r="A168" s="152" t="s">
        <v>13</v>
      </c>
      <c r="B168" s="135" t="s">
        <v>353</v>
      </c>
      <c r="C168" s="77">
        <v>46158.0</v>
      </c>
      <c r="D168" s="161" t="s">
        <v>399</v>
      </c>
      <c r="E168" s="60">
        <v>25.10017</v>
      </c>
      <c r="F168" s="60">
        <v>25.34223</v>
      </c>
      <c r="G168" s="62" t="s">
        <v>400</v>
      </c>
      <c r="H168" s="63" t="s">
        <v>45</v>
      </c>
      <c r="I168" s="155">
        <v>1.0</v>
      </c>
      <c r="J168" s="85">
        <v>3.43</v>
      </c>
      <c r="K168" s="80" t="s">
        <v>51</v>
      </c>
      <c r="L168" s="66" t="s">
        <v>401</v>
      </c>
      <c r="M168" s="156">
        <v>72.0</v>
      </c>
      <c r="N168" s="157">
        <v>0.829</v>
      </c>
      <c r="O168" s="87">
        <v>3.2642</v>
      </c>
      <c r="P168" s="151" t="s">
        <v>162</v>
      </c>
      <c r="Q168" s="143" t="s">
        <v>163</v>
      </c>
      <c r="R168" s="74"/>
      <c r="S168" s="158"/>
      <c r="T168" s="146">
        <f t="shared" si="14"/>
        <v>0</v>
      </c>
      <c r="U168" s="146"/>
      <c r="V168" s="147" t="s">
        <v>38</v>
      </c>
      <c r="W168" s="74" t="b">
        <v>1</v>
      </c>
      <c r="X168" s="74" t="b">
        <v>0</v>
      </c>
      <c r="Y168" s="74" t="b">
        <v>1</v>
      </c>
      <c r="Z168" s="148" t="str">
        <f>IFERROR(__xludf.DUMMYFUNCTION("""COMPUTED_VALUE"""),"#REF!")</f>
        <v>#REF!</v>
      </c>
      <c r="AA168" s="148" t="str">
        <f>IFERROR(__xludf.DUMMYFUNCTION("""COMPUTED_VALUE"""),"#REF!")</f>
        <v>#REF!</v>
      </c>
      <c r="AB168" s="148" t="str">
        <f>IFERROR(__xludf.DUMMYFUNCTION("""COMPUTED_VALUE"""),"#REF!")</f>
        <v>#REF!</v>
      </c>
      <c r="AC168" s="153">
        <v>46158.0</v>
      </c>
      <c r="AD168" s="148"/>
      <c r="AE168" s="47" t="s">
        <v>399</v>
      </c>
      <c r="AF168" s="148" t="s">
        <v>402</v>
      </c>
      <c r="AG168" s="148"/>
      <c r="AH168" s="148" t="s">
        <v>400</v>
      </c>
      <c r="AI168" s="148" t="e">
        <v>#REF!</v>
      </c>
      <c r="AJ168" s="148" t="e">
        <v>#REF!</v>
      </c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</row>
    <row r="169" ht="14.25" customHeight="1">
      <c r="A169" s="152" t="s">
        <v>13</v>
      </c>
      <c r="B169" s="135" t="s">
        <v>403</v>
      </c>
      <c r="C169" s="77">
        <v>46160.0</v>
      </c>
      <c r="D169" s="161" t="s">
        <v>404</v>
      </c>
      <c r="E169" s="60">
        <v>26.10634</v>
      </c>
      <c r="F169" s="60">
        <v>26.36166</v>
      </c>
      <c r="G169" s="62" t="s">
        <v>405</v>
      </c>
      <c r="H169" s="63" t="s">
        <v>34</v>
      </c>
      <c r="I169" s="155">
        <v>1.0</v>
      </c>
      <c r="J169" s="85">
        <v>4.28</v>
      </c>
      <c r="K169" s="80" t="s">
        <v>57</v>
      </c>
      <c r="L169" s="66" t="s">
        <v>406</v>
      </c>
      <c r="M169" s="156"/>
      <c r="N169" s="157"/>
      <c r="O169" s="87">
        <v>4.28</v>
      </c>
      <c r="P169" s="151" t="s">
        <v>153</v>
      </c>
      <c r="Q169" s="143" t="s">
        <v>154</v>
      </c>
      <c r="R169" s="74" t="s">
        <v>179</v>
      </c>
      <c r="S169" s="158"/>
      <c r="T169" s="146">
        <f t="shared" si="14"/>
        <v>0</v>
      </c>
      <c r="U169" s="146"/>
      <c r="V169" s="147" t="s">
        <v>38</v>
      </c>
      <c r="W169" s="74" t="b">
        <v>0</v>
      </c>
      <c r="X169" s="74" t="b">
        <v>0</v>
      </c>
      <c r="Y169" s="74" t="b">
        <v>1</v>
      </c>
      <c r="Z169" s="148" t="str">
        <f>IFERROR(__xludf.DUMMYFUNCTION("""COMPUTED_VALUE"""),"#REF!")</f>
        <v>#REF!</v>
      </c>
      <c r="AA169" s="148" t="str">
        <f>IFERROR(__xludf.DUMMYFUNCTION("""COMPUTED_VALUE"""),"#REF!")</f>
        <v>#REF!</v>
      </c>
      <c r="AB169" s="148" t="str">
        <f>IFERROR(__xludf.DUMMYFUNCTION("""COMPUTED_VALUE"""),"#REF!")</f>
        <v>#REF!</v>
      </c>
      <c r="AC169" s="153">
        <v>46160.0</v>
      </c>
      <c r="AD169" s="148"/>
      <c r="AE169" s="47" t="s">
        <v>404</v>
      </c>
      <c r="AF169" s="148" t="s">
        <v>407</v>
      </c>
      <c r="AG169" s="148"/>
      <c r="AH169" s="148" t="s">
        <v>405</v>
      </c>
      <c r="AI169" s="148" t="e">
        <v>#REF!</v>
      </c>
      <c r="AJ169" s="148" t="e">
        <v>#REF!</v>
      </c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</row>
    <row r="170" ht="14.25" customHeight="1">
      <c r="A170" s="152" t="s">
        <v>13</v>
      </c>
      <c r="B170" s="135" t="s">
        <v>403</v>
      </c>
      <c r="C170" s="77">
        <v>46160.0</v>
      </c>
      <c r="D170" s="161" t="s">
        <v>408</v>
      </c>
      <c r="E170" s="60">
        <v>26.10563</v>
      </c>
      <c r="F170" s="60">
        <v>26.36016</v>
      </c>
      <c r="G170" s="62" t="s">
        <v>409</v>
      </c>
      <c r="H170" s="63" t="s">
        <v>45</v>
      </c>
      <c r="I170" s="155">
        <v>1.0</v>
      </c>
      <c r="J170" s="85">
        <v>3.88</v>
      </c>
      <c r="K170" s="80" t="s">
        <v>57</v>
      </c>
      <c r="L170" s="66" t="s">
        <v>410</v>
      </c>
      <c r="M170" s="156"/>
      <c r="N170" s="157"/>
      <c r="O170" s="87">
        <v>3.88</v>
      </c>
      <c r="P170" s="151" t="s">
        <v>162</v>
      </c>
      <c r="Q170" s="143" t="s">
        <v>154</v>
      </c>
      <c r="R170" s="74" t="s">
        <v>179</v>
      </c>
      <c r="S170" s="158"/>
      <c r="T170" s="146">
        <f t="shared" si="14"/>
        <v>0</v>
      </c>
      <c r="U170" s="146"/>
      <c r="V170" s="147" t="s">
        <v>38</v>
      </c>
      <c r="W170" s="74" t="b">
        <v>0</v>
      </c>
      <c r="X170" s="74" t="b">
        <v>0</v>
      </c>
      <c r="Y170" s="74" t="b">
        <v>1</v>
      </c>
      <c r="Z170" s="148" t="str">
        <f>IFERROR(__xludf.DUMMYFUNCTION("""COMPUTED_VALUE"""),"#REF!")</f>
        <v>#REF!</v>
      </c>
      <c r="AA170" s="148" t="str">
        <f>IFERROR(__xludf.DUMMYFUNCTION("""COMPUTED_VALUE"""),"#REF!")</f>
        <v>#REF!</v>
      </c>
      <c r="AB170" s="148" t="str">
        <f>IFERROR(__xludf.DUMMYFUNCTION("""COMPUTED_VALUE"""),"#REF!")</f>
        <v>#REF!</v>
      </c>
      <c r="AC170" s="153">
        <v>46160.0</v>
      </c>
      <c r="AD170" s="148"/>
      <c r="AE170" s="47" t="s">
        <v>408</v>
      </c>
      <c r="AF170" s="148" t="s">
        <v>411</v>
      </c>
      <c r="AG170" s="148"/>
      <c r="AH170" s="148" t="s">
        <v>409</v>
      </c>
      <c r="AI170" s="148" t="e">
        <v>#REF!</v>
      </c>
      <c r="AJ170" s="148" t="e">
        <v>#REF!</v>
      </c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</row>
    <row r="171" ht="14.25" customHeight="1">
      <c r="A171" s="152" t="s">
        <v>13</v>
      </c>
      <c r="B171" s="135" t="s">
        <v>403</v>
      </c>
      <c r="C171" s="77">
        <v>46160.0</v>
      </c>
      <c r="D171" s="161" t="s">
        <v>412</v>
      </c>
      <c r="E171" s="60">
        <v>26.10564</v>
      </c>
      <c r="F171" s="60">
        <v>26.3602</v>
      </c>
      <c r="G171" s="62" t="s">
        <v>413</v>
      </c>
      <c r="H171" s="63" t="s">
        <v>45</v>
      </c>
      <c r="I171" s="155">
        <v>1.0</v>
      </c>
      <c r="J171" s="85">
        <v>3.93</v>
      </c>
      <c r="K171" s="80" t="s">
        <v>57</v>
      </c>
      <c r="L171" s="66" t="s">
        <v>414</v>
      </c>
      <c r="M171" s="156"/>
      <c r="N171" s="157"/>
      <c r="O171" s="87">
        <v>3.93</v>
      </c>
      <c r="P171" s="151" t="s">
        <v>162</v>
      </c>
      <c r="Q171" s="143" t="s">
        <v>154</v>
      </c>
      <c r="R171" s="74" t="s">
        <v>179</v>
      </c>
      <c r="S171" s="158"/>
      <c r="T171" s="146">
        <f t="shared" si="14"/>
        <v>0</v>
      </c>
      <c r="U171" s="146"/>
      <c r="V171" s="147" t="s">
        <v>38</v>
      </c>
      <c r="W171" s="74" t="b">
        <v>0</v>
      </c>
      <c r="X171" s="74" t="b">
        <v>0</v>
      </c>
      <c r="Y171" s="74" t="b">
        <v>1</v>
      </c>
      <c r="Z171" s="148" t="str">
        <f>IFERROR(__xludf.DUMMYFUNCTION("""COMPUTED_VALUE"""),"#REF!")</f>
        <v>#REF!</v>
      </c>
      <c r="AA171" s="148" t="str">
        <f>IFERROR(__xludf.DUMMYFUNCTION("""COMPUTED_VALUE"""),"#REF!")</f>
        <v>#REF!</v>
      </c>
      <c r="AB171" s="148" t="str">
        <f>IFERROR(__xludf.DUMMYFUNCTION("""COMPUTED_VALUE"""),"#REF!")</f>
        <v>#REF!</v>
      </c>
      <c r="AC171" s="153">
        <v>46160.0</v>
      </c>
      <c r="AD171" s="148"/>
      <c r="AE171" s="47" t="s">
        <v>412</v>
      </c>
      <c r="AF171" s="148" t="s">
        <v>415</v>
      </c>
      <c r="AG171" s="148"/>
      <c r="AH171" s="148" t="s">
        <v>413</v>
      </c>
      <c r="AI171" s="148" t="e">
        <v>#REF!</v>
      </c>
      <c r="AJ171" s="148" t="e">
        <v>#REF!</v>
      </c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</row>
    <row r="172" ht="14.25" customHeight="1">
      <c r="A172" s="152" t="s">
        <v>13</v>
      </c>
      <c r="B172" s="135" t="s">
        <v>403</v>
      </c>
      <c r="C172" s="77">
        <v>46160.0</v>
      </c>
      <c r="D172" s="161" t="s">
        <v>416</v>
      </c>
      <c r="E172" s="60">
        <v>26.10562</v>
      </c>
      <c r="F172" s="162">
        <v>26.35985</v>
      </c>
      <c r="G172" s="62" t="s">
        <v>417</v>
      </c>
      <c r="H172" s="63" t="s">
        <v>34</v>
      </c>
      <c r="I172" s="155">
        <v>1.0</v>
      </c>
      <c r="J172" s="85">
        <v>4.02</v>
      </c>
      <c r="K172" s="80" t="s">
        <v>57</v>
      </c>
      <c r="L172" s="66" t="s">
        <v>418</v>
      </c>
      <c r="M172" s="156"/>
      <c r="N172" s="157"/>
      <c r="O172" s="87">
        <v>4.02</v>
      </c>
      <c r="P172" s="151" t="s">
        <v>162</v>
      </c>
      <c r="Q172" s="143" t="s">
        <v>163</v>
      </c>
      <c r="R172" s="74"/>
      <c r="S172" s="158"/>
      <c r="T172" s="146">
        <f t="shared" si="14"/>
        <v>0</v>
      </c>
      <c r="U172" s="146"/>
      <c r="V172" s="147" t="s">
        <v>38</v>
      </c>
      <c r="W172" s="74" t="b">
        <v>0</v>
      </c>
      <c r="X172" s="74" t="b">
        <v>0</v>
      </c>
      <c r="Y172" s="74" t="b">
        <v>1</v>
      </c>
      <c r="Z172" s="148" t="str">
        <f>IFERROR(__xludf.DUMMYFUNCTION("""COMPUTED_VALUE"""),"#REF!")</f>
        <v>#REF!</v>
      </c>
      <c r="AA172" s="148" t="str">
        <f>IFERROR(__xludf.DUMMYFUNCTION("""COMPUTED_VALUE"""),"#REF!")</f>
        <v>#REF!</v>
      </c>
      <c r="AB172" s="148" t="str">
        <f>IFERROR(__xludf.DUMMYFUNCTION("""COMPUTED_VALUE"""),"#REF!")</f>
        <v>#REF!</v>
      </c>
      <c r="AC172" s="153">
        <v>46160.0</v>
      </c>
      <c r="AD172" s="148"/>
      <c r="AE172" s="47" t="s">
        <v>416</v>
      </c>
      <c r="AF172" s="148" t="s">
        <v>419</v>
      </c>
      <c r="AG172" s="148"/>
      <c r="AH172" s="148" t="s">
        <v>417</v>
      </c>
      <c r="AI172" s="148" t="e">
        <v>#REF!</v>
      </c>
      <c r="AJ172" s="148" t="e">
        <v>#REF!</v>
      </c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</row>
    <row r="173" ht="14.25" customHeight="1">
      <c r="A173" s="152" t="s">
        <v>13</v>
      </c>
      <c r="B173" s="135" t="s">
        <v>403</v>
      </c>
      <c r="C173" s="77">
        <v>46160.0</v>
      </c>
      <c r="D173" s="161" t="s">
        <v>420</v>
      </c>
      <c r="E173" s="60">
        <v>26.10416</v>
      </c>
      <c r="F173" s="60">
        <v>26.35532</v>
      </c>
      <c r="G173" s="62" t="s">
        <v>421</v>
      </c>
      <c r="H173" s="63" t="s">
        <v>45</v>
      </c>
      <c r="I173" s="155">
        <v>1.0</v>
      </c>
      <c r="J173" s="85">
        <v>3.92</v>
      </c>
      <c r="K173" s="80" t="s">
        <v>46</v>
      </c>
      <c r="L173" s="66" t="s">
        <v>422</v>
      </c>
      <c r="M173" s="156">
        <v>38.0</v>
      </c>
      <c r="N173" s="157">
        <v>1.019</v>
      </c>
      <c r="O173" s="87">
        <v>3.7161999999999997</v>
      </c>
      <c r="P173" s="151" t="s">
        <v>162</v>
      </c>
      <c r="Q173" s="143" t="s">
        <v>163</v>
      </c>
      <c r="R173" s="74"/>
      <c r="S173" s="158"/>
      <c r="T173" s="146">
        <f t="shared" si="14"/>
        <v>0</v>
      </c>
      <c r="U173" s="146"/>
      <c r="V173" s="147" t="s">
        <v>38</v>
      </c>
      <c r="W173" s="74" t="b">
        <v>1</v>
      </c>
      <c r="X173" s="74" t="b">
        <v>0</v>
      </c>
      <c r="Y173" s="74" t="b">
        <v>1</v>
      </c>
      <c r="Z173" s="148" t="str">
        <f>IFERROR(__xludf.DUMMYFUNCTION("""COMPUTED_VALUE"""),"#REF!")</f>
        <v>#REF!</v>
      </c>
      <c r="AA173" s="148" t="str">
        <f>IFERROR(__xludf.DUMMYFUNCTION("""COMPUTED_VALUE"""),"#REF!")</f>
        <v>#REF!</v>
      </c>
      <c r="AB173" s="148" t="str">
        <f>IFERROR(__xludf.DUMMYFUNCTION("""COMPUTED_VALUE"""),"#REF!")</f>
        <v>#REF!</v>
      </c>
      <c r="AC173" s="153">
        <v>46160.0</v>
      </c>
      <c r="AD173" s="148"/>
      <c r="AE173" s="47" t="s">
        <v>420</v>
      </c>
      <c r="AF173" s="148" t="s">
        <v>423</v>
      </c>
      <c r="AG173" s="148"/>
      <c r="AH173" s="148" t="s">
        <v>421</v>
      </c>
      <c r="AI173" s="148" t="e">
        <v>#REF!</v>
      </c>
      <c r="AJ173" s="148" t="e">
        <v>#REF!</v>
      </c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</row>
    <row r="174" ht="14.25" customHeight="1">
      <c r="A174" s="152" t="s">
        <v>13</v>
      </c>
      <c r="B174" s="135" t="s">
        <v>424</v>
      </c>
      <c r="C174" s="77">
        <v>46161.0</v>
      </c>
      <c r="D174" s="163">
        <v>109845.0</v>
      </c>
      <c r="E174" s="60">
        <v>25.9671</v>
      </c>
      <c r="F174" s="60">
        <v>25.33344</v>
      </c>
      <c r="G174" s="62" t="s">
        <v>425</v>
      </c>
      <c r="H174" s="63" t="s">
        <v>34</v>
      </c>
      <c r="I174" s="155">
        <v>1.0</v>
      </c>
      <c r="J174" s="85">
        <v>1.39</v>
      </c>
      <c r="K174" s="80" t="s">
        <v>68</v>
      </c>
      <c r="L174" s="66" t="s">
        <v>426</v>
      </c>
      <c r="M174" s="156"/>
      <c r="N174" s="157"/>
      <c r="O174" s="87">
        <v>1.39</v>
      </c>
      <c r="P174" s="151" t="s">
        <v>162</v>
      </c>
      <c r="Q174" s="143" t="s">
        <v>154</v>
      </c>
      <c r="R174" s="74" t="s">
        <v>179</v>
      </c>
      <c r="S174" s="158"/>
      <c r="T174" s="146">
        <f t="shared" si="14"/>
        <v>0</v>
      </c>
      <c r="U174" s="146"/>
      <c r="V174" s="147" t="s">
        <v>38</v>
      </c>
      <c r="W174" s="74" t="b">
        <v>0</v>
      </c>
      <c r="X174" s="74" t="b">
        <v>0</v>
      </c>
      <c r="Y174" s="74" t="b">
        <v>0</v>
      </c>
      <c r="Z174" s="148" t="str">
        <f>IFERROR(__xludf.DUMMYFUNCTION("""COMPUTED_VALUE"""),"#REF!")</f>
        <v>#REF!</v>
      </c>
      <c r="AA174" s="148" t="str">
        <f>IFERROR(__xludf.DUMMYFUNCTION("""COMPUTED_VALUE"""),"#REF!")</f>
        <v>#REF!</v>
      </c>
      <c r="AB174" s="148" t="str">
        <f>IFERROR(__xludf.DUMMYFUNCTION("""COMPUTED_VALUE"""),"#REF!")</f>
        <v>#REF!</v>
      </c>
      <c r="AC174" s="153">
        <v>46161.0</v>
      </c>
      <c r="AD174" s="148"/>
      <c r="AE174" s="148">
        <v>109845.0</v>
      </c>
      <c r="AF174" s="148" t="s">
        <v>427</v>
      </c>
      <c r="AG174" s="148"/>
      <c r="AH174" s="148" t="s">
        <v>425</v>
      </c>
      <c r="AI174" s="148" t="e">
        <v>#REF!</v>
      </c>
      <c r="AJ174" s="148" t="e">
        <v>#REF!</v>
      </c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</row>
    <row r="175" ht="14.25" customHeight="1">
      <c r="A175" s="152" t="s">
        <v>13</v>
      </c>
      <c r="B175" s="135" t="s">
        <v>424</v>
      </c>
      <c r="C175" s="77">
        <v>46161.0</v>
      </c>
      <c r="D175" s="136">
        <v>109883.0</v>
      </c>
      <c r="E175" s="60">
        <v>26.1071</v>
      </c>
      <c r="F175" s="60">
        <v>26.36422</v>
      </c>
      <c r="G175" s="62" t="s">
        <v>428</v>
      </c>
      <c r="H175" s="63" t="s">
        <v>277</v>
      </c>
      <c r="I175" s="155">
        <v>1.0</v>
      </c>
      <c r="J175" s="85">
        <v>13.81</v>
      </c>
      <c r="K175" s="80" t="s">
        <v>68</v>
      </c>
      <c r="L175" s="66" t="s">
        <v>429</v>
      </c>
      <c r="M175" s="156"/>
      <c r="N175" s="157"/>
      <c r="O175" s="87">
        <v>13.81</v>
      </c>
      <c r="P175" s="151" t="s">
        <v>153</v>
      </c>
      <c r="Q175" s="143" t="s">
        <v>154</v>
      </c>
      <c r="R175" s="74" t="s">
        <v>179</v>
      </c>
      <c r="S175" s="158"/>
      <c r="T175" s="146">
        <f t="shared" si="14"/>
        <v>0</v>
      </c>
      <c r="U175" s="146"/>
      <c r="V175" s="147" t="s">
        <v>38</v>
      </c>
      <c r="W175" s="74" t="b">
        <v>0</v>
      </c>
      <c r="X175" s="74" t="b">
        <v>0</v>
      </c>
      <c r="Y175" s="74" t="b">
        <v>0</v>
      </c>
      <c r="Z175" s="148" t="str">
        <f>IFERROR(__xludf.DUMMYFUNCTION("""COMPUTED_VALUE"""),"#REF!")</f>
        <v>#REF!</v>
      </c>
      <c r="AA175" s="148" t="str">
        <f>IFERROR(__xludf.DUMMYFUNCTION("""COMPUTED_VALUE"""),"#REF!")</f>
        <v>#REF!</v>
      </c>
      <c r="AB175" s="148" t="str">
        <f>IFERROR(__xludf.DUMMYFUNCTION("""COMPUTED_VALUE"""),"#REF!")</f>
        <v>#REF!</v>
      </c>
      <c r="AC175" s="153">
        <v>46161.0</v>
      </c>
      <c r="AD175" s="148"/>
      <c r="AE175" s="148">
        <v>109883.0</v>
      </c>
      <c r="AF175" s="148" t="s">
        <v>430</v>
      </c>
      <c r="AG175" s="148"/>
      <c r="AH175" s="148" t="s">
        <v>428</v>
      </c>
      <c r="AI175" s="148" t="e">
        <v>#REF!</v>
      </c>
      <c r="AJ175" s="148" t="e">
        <v>#REF!</v>
      </c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</row>
    <row r="176" ht="14.25" customHeight="1">
      <c r="A176" s="152" t="s">
        <v>13</v>
      </c>
      <c r="B176" s="135" t="s">
        <v>424</v>
      </c>
      <c r="C176" s="77">
        <v>46161.0</v>
      </c>
      <c r="D176" s="136">
        <v>109884.0</v>
      </c>
      <c r="E176" s="60">
        <v>26.1071</v>
      </c>
      <c r="F176" s="60">
        <v>26.36465</v>
      </c>
      <c r="G176" s="62" t="s">
        <v>431</v>
      </c>
      <c r="H176" s="63" t="s">
        <v>277</v>
      </c>
      <c r="I176" s="155">
        <v>1.0</v>
      </c>
      <c r="J176" s="85">
        <v>13.87</v>
      </c>
      <c r="K176" s="80" t="s">
        <v>68</v>
      </c>
      <c r="L176" s="66" t="s">
        <v>432</v>
      </c>
      <c r="M176" s="156"/>
      <c r="N176" s="157"/>
      <c r="O176" s="87">
        <v>13.87</v>
      </c>
      <c r="P176" s="151" t="s">
        <v>153</v>
      </c>
      <c r="Q176" s="143" t="s">
        <v>154</v>
      </c>
      <c r="R176" s="74" t="s">
        <v>179</v>
      </c>
      <c r="S176" s="158"/>
      <c r="T176" s="146">
        <f t="shared" si="14"/>
        <v>0</v>
      </c>
      <c r="U176" s="146"/>
      <c r="V176" s="147" t="s">
        <v>38</v>
      </c>
      <c r="W176" s="74" t="b">
        <v>0</v>
      </c>
      <c r="X176" s="74" t="b">
        <v>0</v>
      </c>
      <c r="Y176" s="74" t="b">
        <v>0</v>
      </c>
      <c r="Z176" s="148" t="str">
        <f>IFERROR(__xludf.DUMMYFUNCTION("""COMPUTED_VALUE"""),"#REF!")</f>
        <v>#REF!</v>
      </c>
      <c r="AA176" s="148" t="str">
        <f>IFERROR(__xludf.DUMMYFUNCTION("""COMPUTED_VALUE"""),"#REF!")</f>
        <v>#REF!</v>
      </c>
      <c r="AB176" s="148" t="str">
        <f>IFERROR(__xludf.DUMMYFUNCTION("""COMPUTED_VALUE"""),"#REF!")</f>
        <v>#REF!</v>
      </c>
      <c r="AC176" s="153">
        <v>46161.0</v>
      </c>
      <c r="AD176" s="148"/>
      <c r="AE176" s="148">
        <v>109884.0</v>
      </c>
      <c r="AF176" s="148" t="s">
        <v>433</v>
      </c>
      <c r="AG176" s="148"/>
      <c r="AH176" s="148" t="s">
        <v>431</v>
      </c>
      <c r="AI176" s="148" t="e">
        <v>#REF!</v>
      </c>
      <c r="AJ176" s="148" t="e">
        <v>#REF!</v>
      </c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</row>
    <row r="177" ht="14.25" customHeight="1">
      <c r="A177" s="152" t="s">
        <v>13</v>
      </c>
      <c r="B177" s="135" t="s">
        <v>424</v>
      </c>
      <c r="C177" s="77">
        <v>46161.0</v>
      </c>
      <c r="D177" s="136">
        <v>110086.0</v>
      </c>
      <c r="E177" s="60">
        <v>26.10736</v>
      </c>
      <c r="F177" s="60">
        <v>26.36482</v>
      </c>
      <c r="G177" s="62" t="s">
        <v>434</v>
      </c>
      <c r="H177" s="63" t="s">
        <v>34</v>
      </c>
      <c r="I177" s="155">
        <v>1.0</v>
      </c>
      <c r="J177" s="85">
        <v>5.0</v>
      </c>
      <c r="K177" s="80" t="s">
        <v>177</v>
      </c>
      <c r="L177" s="66" t="s">
        <v>435</v>
      </c>
      <c r="M177" s="156"/>
      <c r="N177" s="157"/>
      <c r="O177" s="87">
        <v>5.0</v>
      </c>
      <c r="P177" s="151" t="s">
        <v>153</v>
      </c>
      <c r="Q177" s="143" t="s">
        <v>154</v>
      </c>
      <c r="R177" s="74" t="s">
        <v>179</v>
      </c>
      <c r="S177" s="158"/>
      <c r="T177" s="146">
        <f t="shared" si="14"/>
        <v>0</v>
      </c>
      <c r="U177" s="146"/>
      <c r="V177" s="147" t="s">
        <v>38</v>
      </c>
      <c r="W177" s="74" t="b">
        <v>0</v>
      </c>
      <c r="X177" s="74" t="b">
        <v>0</v>
      </c>
      <c r="Y177" s="74" t="b">
        <v>0</v>
      </c>
      <c r="Z177" s="148" t="str">
        <f>IFERROR(__xludf.DUMMYFUNCTION("""COMPUTED_VALUE"""),"#REF!")</f>
        <v>#REF!</v>
      </c>
      <c r="AA177" s="148" t="str">
        <f>IFERROR(__xludf.DUMMYFUNCTION("""COMPUTED_VALUE"""),"#REF!")</f>
        <v>#REF!</v>
      </c>
      <c r="AB177" s="148" t="str">
        <f>IFERROR(__xludf.DUMMYFUNCTION("""COMPUTED_VALUE"""),"#REF!")</f>
        <v>#REF!</v>
      </c>
      <c r="AC177" s="153">
        <v>46161.0</v>
      </c>
      <c r="AD177" s="148"/>
      <c r="AE177" s="148">
        <v>110086.0</v>
      </c>
      <c r="AF177" s="148" t="s">
        <v>436</v>
      </c>
      <c r="AG177" s="148"/>
      <c r="AH177" s="148" t="s">
        <v>434</v>
      </c>
      <c r="AI177" s="148" t="e">
        <v>#REF!</v>
      </c>
      <c r="AJ177" s="148" t="e">
        <v>#REF!</v>
      </c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</row>
    <row r="178" ht="14.25" customHeight="1">
      <c r="A178" s="152" t="s">
        <v>13</v>
      </c>
      <c r="B178" s="135" t="s">
        <v>424</v>
      </c>
      <c r="C178" s="77">
        <v>46161.0</v>
      </c>
      <c r="D178" s="136">
        <v>110087.0</v>
      </c>
      <c r="E178" s="60">
        <v>26.10735</v>
      </c>
      <c r="F178" s="60">
        <v>26.36473</v>
      </c>
      <c r="G178" s="62" t="s">
        <v>437</v>
      </c>
      <c r="H178" s="63" t="s">
        <v>34</v>
      </c>
      <c r="I178" s="155">
        <v>1.0</v>
      </c>
      <c r="J178" s="85">
        <v>32.8</v>
      </c>
      <c r="K178" s="80" t="s">
        <v>160</v>
      </c>
      <c r="L178" s="66" t="s">
        <v>438</v>
      </c>
      <c r="M178" s="156"/>
      <c r="N178" s="157"/>
      <c r="O178" s="87">
        <v>32.8</v>
      </c>
      <c r="P178" s="151" t="s">
        <v>153</v>
      </c>
      <c r="Q178" s="143" t="s">
        <v>154</v>
      </c>
      <c r="R178" s="74" t="s">
        <v>179</v>
      </c>
      <c r="S178" s="158"/>
      <c r="T178" s="146">
        <f t="shared" si="14"/>
        <v>0</v>
      </c>
      <c r="U178" s="146"/>
      <c r="V178" s="147" t="s">
        <v>38</v>
      </c>
      <c r="W178" s="74" t="b">
        <v>0</v>
      </c>
      <c r="X178" s="74" t="b">
        <v>0</v>
      </c>
      <c r="Y178" s="74" t="b">
        <v>0</v>
      </c>
      <c r="Z178" s="148" t="str">
        <f>IFERROR(__xludf.DUMMYFUNCTION("""COMPUTED_VALUE"""),"#REF!")</f>
        <v>#REF!</v>
      </c>
      <c r="AA178" s="148" t="str">
        <f>IFERROR(__xludf.DUMMYFUNCTION("""COMPUTED_VALUE"""),"#REF!")</f>
        <v>#REF!</v>
      </c>
      <c r="AB178" s="148" t="str">
        <f>IFERROR(__xludf.DUMMYFUNCTION("""COMPUTED_VALUE"""),"#REF!")</f>
        <v>#REF!</v>
      </c>
      <c r="AC178" s="153">
        <v>46161.0</v>
      </c>
      <c r="AD178" s="148"/>
      <c r="AE178" s="148">
        <v>110087.0</v>
      </c>
      <c r="AF178" s="148" t="s">
        <v>439</v>
      </c>
      <c r="AG178" s="148"/>
      <c r="AH178" s="148" t="s">
        <v>437</v>
      </c>
      <c r="AI178" s="148" t="e">
        <v>#REF!</v>
      </c>
      <c r="AJ178" s="148" t="e">
        <v>#REF!</v>
      </c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</row>
    <row r="179" ht="14.25" customHeight="1">
      <c r="A179" s="152" t="s">
        <v>13</v>
      </c>
      <c r="B179" s="135" t="s">
        <v>424</v>
      </c>
      <c r="C179" s="77">
        <v>46161.0</v>
      </c>
      <c r="D179" s="136">
        <v>110088.0</v>
      </c>
      <c r="E179" s="60">
        <v>26.10735</v>
      </c>
      <c r="F179" s="60">
        <v>26.36474</v>
      </c>
      <c r="G179" s="62" t="s">
        <v>440</v>
      </c>
      <c r="H179" s="63" t="s">
        <v>45</v>
      </c>
      <c r="I179" s="155">
        <v>1.0</v>
      </c>
      <c r="J179" s="85">
        <v>11.94</v>
      </c>
      <c r="K179" s="80" t="s">
        <v>160</v>
      </c>
      <c r="L179" s="66" t="s">
        <v>441</v>
      </c>
      <c r="M179" s="156"/>
      <c r="N179" s="157"/>
      <c r="O179" s="87">
        <v>11.94</v>
      </c>
      <c r="P179" s="151" t="s">
        <v>153</v>
      </c>
      <c r="Q179" s="143" t="s">
        <v>154</v>
      </c>
      <c r="R179" s="74" t="s">
        <v>179</v>
      </c>
      <c r="S179" s="158"/>
      <c r="T179" s="146">
        <f t="shared" si="14"/>
        <v>0</v>
      </c>
      <c r="U179" s="146"/>
      <c r="V179" s="147" t="s">
        <v>38</v>
      </c>
      <c r="W179" s="74" t="b">
        <v>0</v>
      </c>
      <c r="X179" s="74" t="b">
        <v>0</v>
      </c>
      <c r="Y179" s="74" t="b">
        <v>0</v>
      </c>
      <c r="Z179" s="148" t="str">
        <f>IFERROR(__xludf.DUMMYFUNCTION("""COMPUTED_VALUE"""),"#REF!")</f>
        <v>#REF!</v>
      </c>
      <c r="AA179" s="148" t="str">
        <f>IFERROR(__xludf.DUMMYFUNCTION("""COMPUTED_VALUE"""),"#REF!")</f>
        <v>#REF!</v>
      </c>
      <c r="AB179" s="148" t="str">
        <f>IFERROR(__xludf.DUMMYFUNCTION("""COMPUTED_VALUE"""),"#REF!")</f>
        <v>#REF!</v>
      </c>
      <c r="AC179" s="153">
        <v>46161.0</v>
      </c>
      <c r="AD179" s="148"/>
      <c r="AE179" s="148">
        <v>110088.0</v>
      </c>
      <c r="AF179" s="148" t="s">
        <v>442</v>
      </c>
      <c r="AG179" s="148"/>
      <c r="AH179" s="148" t="s">
        <v>440</v>
      </c>
      <c r="AI179" s="148" t="e">
        <v>#REF!</v>
      </c>
      <c r="AJ179" s="148" t="e">
        <v>#REF!</v>
      </c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</row>
    <row r="180" ht="14.25" customHeight="1">
      <c r="A180" s="152" t="s">
        <v>13</v>
      </c>
      <c r="B180" s="135" t="s">
        <v>424</v>
      </c>
      <c r="C180" s="77">
        <v>46161.0</v>
      </c>
      <c r="D180" s="136">
        <v>110089.0</v>
      </c>
      <c r="E180" s="60">
        <v>26.1066</v>
      </c>
      <c r="F180" s="60">
        <v>26.36342</v>
      </c>
      <c r="G180" s="62" t="s">
        <v>443</v>
      </c>
      <c r="H180" s="63" t="s">
        <v>34</v>
      </c>
      <c r="I180" s="155">
        <v>1.0</v>
      </c>
      <c r="J180" s="85">
        <v>3.12</v>
      </c>
      <c r="K180" s="80" t="s">
        <v>188</v>
      </c>
      <c r="L180" s="66" t="s">
        <v>444</v>
      </c>
      <c r="M180" s="156">
        <v>26.0</v>
      </c>
      <c r="N180" s="157">
        <v>0.214</v>
      </c>
      <c r="O180" s="87">
        <v>3.0772</v>
      </c>
      <c r="P180" s="151" t="s">
        <v>153</v>
      </c>
      <c r="Q180" s="143" t="s">
        <v>154</v>
      </c>
      <c r="R180" s="74" t="s">
        <v>179</v>
      </c>
      <c r="S180" s="158"/>
      <c r="T180" s="146">
        <f t="shared" si="14"/>
        <v>0</v>
      </c>
      <c r="U180" s="146"/>
      <c r="V180" s="147" t="s">
        <v>38</v>
      </c>
      <c r="W180" s="74" t="b">
        <v>0</v>
      </c>
      <c r="X180" s="74" t="b">
        <v>0</v>
      </c>
      <c r="Y180" s="74" t="b">
        <v>0</v>
      </c>
      <c r="Z180" s="148" t="str">
        <f>IFERROR(__xludf.DUMMYFUNCTION("""COMPUTED_VALUE"""),"#REF!")</f>
        <v>#REF!</v>
      </c>
      <c r="AA180" s="148" t="str">
        <f>IFERROR(__xludf.DUMMYFUNCTION("""COMPUTED_VALUE"""),"#REF!")</f>
        <v>#REF!</v>
      </c>
      <c r="AB180" s="148" t="str">
        <f>IFERROR(__xludf.DUMMYFUNCTION("""COMPUTED_VALUE"""),"#REF!")</f>
        <v>#REF!</v>
      </c>
      <c r="AC180" s="153">
        <v>46161.0</v>
      </c>
      <c r="AD180" s="148"/>
      <c r="AE180" s="148">
        <v>110089.0</v>
      </c>
      <c r="AF180" s="148" t="s">
        <v>445</v>
      </c>
      <c r="AG180" s="148"/>
      <c r="AH180" s="148" t="s">
        <v>443</v>
      </c>
      <c r="AI180" s="148" t="e">
        <v>#REF!</v>
      </c>
      <c r="AJ180" s="148" t="e">
        <v>#REF!</v>
      </c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</row>
    <row r="181" ht="14.25" customHeight="1">
      <c r="A181" s="152" t="s">
        <v>13</v>
      </c>
      <c r="B181" s="135" t="s">
        <v>424</v>
      </c>
      <c r="C181" s="77">
        <v>46161.0</v>
      </c>
      <c r="D181" s="136">
        <v>110090.0</v>
      </c>
      <c r="E181" s="60">
        <v>26.10561</v>
      </c>
      <c r="F181" s="164">
        <v>26.35982</v>
      </c>
      <c r="G181" s="62" t="s">
        <v>446</v>
      </c>
      <c r="H181" s="63" t="s">
        <v>45</v>
      </c>
      <c r="I181" s="155">
        <v>1.0</v>
      </c>
      <c r="J181" s="85">
        <v>3.57</v>
      </c>
      <c r="K181" s="80" t="s">
        <v>57</v>
      </c>
      <c r="L181" s="66" t="s">
        <v>447</v>
      </c>
      <c r="M181" s="156"/>
      <c r="N181" s="157"/>
      <c r="O181" s="87">
        <v>3.57</v>
      </c>
      <c r="P181" s="151" t="s">
        <v>162</v>
      </c>
      <c r="Q181" s="143" t="s">
        <v>154</v>
      </c>
      <c r="R181" s="74" t="s">
        <v>179</v>
      </c>
      <c r="S181" s="158"/>
      <c r="T181" s="146">
        <f t="shared" si="14"/>
        <v>0</v>
      </c>
      <c r="U181" s="146"/>
      <c r="V181" s="147" t="s">
        <v>38</v>
      </c>
      <c r="W181" s="74" t="b">
        <v>0</v>
      </c>
      <c r="X181" s="74" t="b">
        <v>0</v>
      </c>
      <c r="Y181" s="74" t="b">
        <v>0</v>
      </c>
      <c r="Z181" s="148" t="str">
        <f>IFERROR(__xludf.DUMMYFUNCTION("""COMPUTED_VALUE"""),"#REF!")</f>
        <v>#REF!</v>
      </c>
      <c r="AA181" s="148" t="str">
        <f>IFERROR(__xludf.DUMMYFUNCTION("""COMPUTED_VALUE"""),"#REF!")</f>
        <v>#REF!</v>
      </c>
      <c r="AB181" s="148" t="str">
        <f>IFERROR(__xludf.DUMMYFUNCTION("""COMPUTED_VALUE"""),"#REF!")</f>
        <v>#REF!</v>
      </c>
      <c r="AC181" s="153">
        <v>46161.0</v>
      </c>
      <c r="AD181" s="148"/>
      <c r="AE181" s="148">
        <v>110090.0</v>
      </c>
      <c r="AF181" s="148" t="s">
        <v>448</v>
      </c>
      <c r="AG181" s="148"/>
      <c r="AH181" s="148" t="s">
        <v>446</v>
      </c>
      <c r="AI181" s="148" t="e">
        <v>#REF!</v>
      </c>
      <c r="AJ181" s="148" t="e">
        <v>#REF!</v>
      </c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</row>
    <row r="182" ht="14.25" customHeight="1">
      <c r="A182" s="152" t="s">
        <v>13</v>
      </c>
      <c r="B182" s="135" t="s">
        <v>424</v>
      </c>
      <c r="C182" s="77">
        <v>46161.0</v>
      </c>
      <c r="D182" s="136">
        <v>110091.0</v>
      </c>
      <c r="E182" s="60">
        <v>26.10564</v>
      </c>
      <c r="F182" s="60">
        <v>26.36018</v>
      </c>
      <c r="G182" s="62" t="s">
        <v>449</v>
      </c>
      <c r="H182" s="63" t="s">
        <v>45</v>
      </c>
      <c r="I182" s="155">
        <v>1.0</v>
      </c>
      <c r="J182" s="85">
        <v>3.37</v>
      </c>
      <c r="K182" s="80" t="s">
        <v>57</v>
      </c>
      <c r="L182" s="66" t="s">
        <v>450</v>
      </c>
      <c r="M182" s="156"/>
      <c r="N182" s="157"/>
      <c r="O182" s="87">
        <v>3.37</v>
      </c>
      <c r="P182" s="151" t="s">
        <v>162</v>
      </c>
      <c r="Q182" s="143" t="s">
        <v>154</v>
      </c>
      <c r="R182" s="74" t="s">
        <v>179</v>
      </c>
      <c r="S182" s="158"/>
      <c r="T182" s="146">
        <f t="shared" si="14"/>
        <v>0</v>
      </c>
      <c r="U182" s="146"/>
      <c r="V182" s="147" t="s">
        <v>38</v>
      </c>
      <c r="W182" s="74" t="b">
        <v>0</v>
      </c>
      <c r="X182" s="74" t="b">
        <v>0</v>
      </c>
      <c r="Y182" s="74" t="b">
        <v>0</v>
      </c>
      <c r="Z182" s="148" t="str">
        <f>IFERROR(__xludf.DUMMYFUNCTION("""COMPUTED_VALUE"""),"#REF!")</f>
        <v>#REF!</v>
      </c>
      <c r="AA182" s="148" t="str">
        <f>IFERROR(__xludf.DUMMYFUNCTION("""COMPUTED_VALUE"""),"#REF!")</f>
        <v>#REF!</v>
      </c>
      <c r="AB182" s="148" t="str">
        <f>IFERROR(__xludf.DUMMYFUNCTION("""COMPUTED_VALUE"""),"#REF!")</f>
        <v>#REF!</v>
      </c>
      <c r="AC182" s="153">
        <v>46161.0</v>
      </c>
      <c r="AD182" s="148"/>
      <c r="AE182" s="148">
        <v>110091.0</v>
      </c>
      <c r="AF182" s="148" t="s">
        <v>451</v>
      </c>
      <c r="AG182" s="148"/>
      <c r="AH182" s="148" t="s">
        <v>449</v>
      </c>
      <c r="AI182" s="148" t="e">
        <v>#REF!</v>
      </c>
      <c r="AJ182" s="148" t="e">
        <v>#REF!</v>
      </c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</row>
    <row r="183" ht="14.25" customHeight="1">
      <c r="A183" s="152" t="s">
        <v>13</v>
      </c>
      <c r="B183" s="135" t="s">
        <v>424</v>
      </c>
      <c r="C183" s="77">
        <v>46161.0</v>
      </c>
      <c r="D183" s="136">
        <v>110092.0</v>
      </c>
      <c r="E183" s="60">
        <v>26.10493</v>
      </c>
      <c r="F183" s="60">
        <v>26.35677</v>
      </c>
      <c r="G183" s="62" t="s">
        <v>452</v>
      </c>
      <c r="H183" s="63" t="s">
        <v>45</v>
      </c>
      <c r="I183" s="155">
        <v>1.0</v>
      </c>
      <c r="J183" s="85">
        <v>11.38</v>
      </c>
      <c r="K183" s="80" t="s">
        <v>160</v>
      </c>
      <c r="L183" s="66" t="s">
        <v>453</v>
      </c>
      <c r="M183" s="156"/>
      <c r="N183" s="157"/>
      <c r="O183" s="87">
        <v>11.38</v>
      </c>
      <c r="P183" s="151" t="s">
        <v>162</v>
      </c>
      <c r="Q183" s="143" t="s">
        <v>163</v>
      </c>
      <c r="R183" s="74"/>
      <c r="S183" s="158"/>
      <c r="T183" s="146">
        <f t="shared" si="14"/>
        <v>0</v>
      </c>
      <c r="U183" s="146"/>
      <c r="V183" s="147" t="s">
        <v>38</v>
      </c>
      <c r="W183" s="74" t="b">
        <v>0</v>
      </c>
      <c r="X183" s="74" t="b">
        <v>0</v>
      </c>
      <c r="Y183" s="74" t="b">
        <v>0</v>
      </c>
      <c r="Z183" s="148" t="str">
        <f>IFERROR(__xludf.DUMMYFUNCTION("""COMPUTED_VALUE"""),"#REF!")</f>
        <v>#REF!</v>
      </c>
      <c r="AA183" s="148" t="str">
        <f>IFERROR(__xludf.DUMMYFUNCTION("""COMPUTED_VALUE"""),"#REF!")</f>
        <v>#REF!</v>
      </c>
      <c r="AB183" s="148" t="str">
        <f>IFERROR(__xludf.DUMMYFUNCTION("""COMPUTED_VALUE"""),"#REF!")</f>
        <v>#REF!</v>
      </c>
      <c r="AC183" s="153">
        <v>46161.0</v>
      </c>
      <c r="AD183" s="148"/>
      <c r="AE183" s="148">
        <v>110092.0</v>
      </c>
      <c r="AF183" s="148" t="s">
        <v>454</v>
      </c>
      <c r="AG183" s="148"/>
      <c r="AH183" s="148" t="s">
        <v>452</v>
      </c>
      <c r="AI183" s="148" t="e">
        <v>#REF!</v>
      </c>
      <c r="AJ183" s="148" t="e">
        <v>#REF!</v>
      </c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</row>
    <row r="184" ht="14.25" customHeight="1">
      <c r="A184" s="152" t="s">
        <v>13</v>
      </c>
      <c r="B184" s="135" t="s">
        <v>424</v>
      </c>
      <c r="C184" s="77">
        <v>46161.0</v>
      </c>
      <c r="D184" s="136">
        <v>110093.0</v>
      </c>
      <c r="E184" s="60">
        <v>26.10493</v>
      </c>
      <c r="F184" s="60">
        <v>26.35678</v>
      </c>
      <c r="G184" s="62" t="s">
        <v>455</v>
      </c>
      <c r="H184" s="63" t="s">
        <v>45</v>
      </c>
      <c r="I184" s="155">
        <v>1.0</v>
      </c>
      <c r="J184" s="85">
        <v>11.66</v>
      </c>
      <c r="K184" s="80" t="s">
        <v>160</v>
      </c>
      <c r="L184" s="66" t="s">
        <v>456</v>
      </c>
      <c r="M184" s="156"/>
      <c r="N184" s="157"/>
      <c r="O184" s="87">
        <v>11.66</v>
      </c>
      <c r="P184" s="151" t="s">
        <v>162</v>
      </c>
      <c r="Q184" s="143" t="s">
        <v>163</v>
      </c>
      <c r="R184" s="74"/>
      <c r="S184" s="158"/>
      <c r="T184" s="146">
        <f t="shared" si="14"/>
        <v>0</v>
      </c>
      <c r="U184" s="146"/>
      <c r="V184" s="147" t="s">
        <v>38</v>
      </c>
      <c r="W184" s="74" t="b">
        <v>0</v>
      </c>
      <c r="X184" s="74" t="b">
        <v>0</v>
      </c>
      <c r="Y184" s="74" t="b">
        <v>0</v>
      </c>
      <c r="Z184" s="148" t="str">
        <f>IFERROR(__xludf.DUMMYFUNCTION("""COMPUTED_VALUE"""),"#REF!")</f>
        <v>#REF!</v>
      </c>
      <c r="AA184" s="148" t="str">
        <f>IFERROR(__xludf.DUMMYFUNCTION("""COMPUTED_VALUE"""),"#REF!")</f>
        <v>#REF!</v>
      </c>
      <c r="AB184" s="148" t="str">
        <f>IFERROR(__xludf.DUMMYFUNCTION("""COMPUTED_VALUE"""),"#REF!")</f>
        <v>#REF!</v>
      </c>
      <c r="AC184" s="153">
        <v>46161.0</v>
      </c>
      <c r="AD184" s="148"/>
      <c r="AE184" s="148">
        <v>110093.0</v>
      </c>
      <c r="AF184" s="148" t="s">
        <v>457</v>
      </c>
      <c r="AG184" s="148"/>
      <c r="AH184" s="148" t="s">
        <v>455</v>
      </c>
      <c r="AI184" s="148" t="e">
        <v>#REF!</v>
      </c>
      <c r="AJ184" s="148" t="e">
        <v>#REF!</v>
      </c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</row>
    <row r="185" ht="14.25" customHeight="1">
      <c r="A185" s="152" t="s">
        <v>13</v>
      </c>
      <c r="B185" s="135" t="s">
        <v>424</v>
      </c>
      <c r="C185" s="77">
        <v>46161.0</v>
      </c>
      <c r="D185" s="136">
        <v>110094.0</v>
      </c>
      <c r="E185" s="60">
        <v>26.10493</v>
      </c>
      <c r="F185" s="60">
        <v>26.35686</v>
      </c>
      <c r="G185" s="62" t="s">
        <v>458</v>
      </c>
      <c r="H185" s="63" t="s">
        <v>45</v>
      </c>
      <c r="I185" s="155">
        <v>1.0</v>
      </c>
      <c r="J185" s="85">
        <v>27.67</v>
      </c>
      <c r="K185" s="80" t="s">
        <v>160</v>
      </c>
      <c r="L185" s="66" t="s">
        <v>459</v>
      </c>
      <c r="M185" s="156"/>
      <c r="N185" s="157"/>
      <c r="O185" s="87">
        <v>27.67</v>
      </c>
      <c r="P185" s="151" t="s">
        <v>162</v>
      </c>
      <c r="Q185" s="143" t="s">
        <v>163</v>
      </c>
      <c r="R185" s="74"/>
      <c r="S185" s="158"/>
      <c r="T185" s="146">
        <f t="shared" si="14"/>
        <v>0</v>
      </c>
      <c r="U185" s="146"/>
      <c r="V185" s="147" t="s">
        <v>38</v>
      </c>
      <c r="W185" s="74" t="b">
        <v>0</v>
      </c>
      <c r="X185" s="74" t="b">
        <v>0</v>
      </c>
      <c r="Y185" s="74" t="b">
        <v>0</v>
      </c>
      <c r="Z185" s="148" t="str">
        <f>IFERROR(__xludf.DUMMYFUNCTION("""COMPUTED_VALUE"""),"#REF!")</f>
        <v>#REF!</v>
      </c>
      <c r="AA185" s="148" t="str">
        <f>IFERROR(__xludf.DUMMYFUNCTION("""COMPUTED_VALUE"""),"#REF!")</f>
        <v>#REF!</v>
      </c>
      <c r="AB185" s="148" t="str">
        <f>IFERROR(__xludf.DUMMYFUNCTION("""COMPUTED_VALUE"""),"#REF!")</f>
        <v>#REF!</v>
      </c>
      <c r="AC185" s="153">
        <v>46161.0</v>
      </c>
      <c r="AD185" s="148"/>
      <c r="AE185" s="148">
        <v>110094.0</v>
      </c>
      <c r="AF185" s="148" t="s">
        <v>460</v>
      </c>
      <c r="AG185" s="148"/>
      <c r="AH185" s="148" t="s">
        <v>458</v>
      </c>
      <c r="AI185" s="148" t="e">
        <v>#REF!</v>
      </c>
      <c r="AJ185" s="148" t="e">
        <v>#REF!</v>
      </c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</row>
    <row r="186" ht="14.25" customHeight="1">
      <c r="A186" s="152" t="s">
        <v>13</v>
      </c>
      <c r="B186" s="135" t="s">
        <v>424</v>
      </c>
      <c r="C186" s="77">
        <v>46161.0</v>
      </c>
      <c r="D186" s="136">
        <v>110095.0</v>
      </c>
      <c r="E186" s="60">
        <v>25.949</v>
      </c>
      <c r="F186" s="60">
        <v>25.32827</v>
      </c>
      <c r="G186" s="62" t="s">
        <v>461</v>
      </c>
      <c r="H186" s="63" t="s">
        <v>34</v>
      </c>
      <c r="I186" s="155">
        <v>1.0</v>
      </c>
      <c r="J186" s="85">
        <v>4.89</v>
      </c>
      <c r="K186" s="80" t="s">
        <v>177</v>
      </c>
      <c r="L186" s="66" t="s">
        <v>462</v>
      </c>
      <c r="M186" s="156"/>
      <c r="N186" s="157"/>
      <c r="O186" s="87">
        <v>4.89</v>
      </c>
      <c r="P186" s="151" t="s">
        <v>162</v>
      </c>
      <c r="Q186" s="143" t="s">
        <v>163</v>
      </c>
      <c r="R186" s="74"/>
      <c r="S186" s="158"/>
      <c r="T186" s="146">
        <f t="shared" si="14"/>
        <v>0</v>
      </c>
      <c r="U186" s="146"/>
      <c r="V186" s="147" t="s">
        <v>38</v>
      </c>
      <c r="W186" s="74" t="b">
        <v>0</v>
      </c>
      <c r="X186" s="74" t="b">
        <v>0</v>
      </c>
      <c r="Y186" s="74" t="b">
        <v>0</v>
      </c>
      <c r="Z186" s="148" t="str">
        <f>IFERROR(__xludf.DUMMYFUNCTION("""COMPUTED_VALUE"""),"#REF!")</f>
        <v>#REF!</v>
      </c>
      <c r="AA186" s="148" t="str">
        <f>IFERROR(__xludf.DUMMYFUNCTION("""COMPUTED_VALUE"""),"#REF!")</f>
        <v>#REF!</v>
      </c>
      <c r="AB186" s="148" t="str">
        <f>IFERROR(__xludf.DUMMYFUNCTION("""COMPUTED_VALUE"""),"#REF!")</f>
        <v>#REF!</v>
      </c>
      <c r="AC186" s="153">
        <v>46161.0</v>
      </c>
      <c r="AD186" s="148"/>
      <c r="AE186" s="148">
        <v>110095.0</v>
      </c>
      <c r="AF186" s="148" t="s">
        <v>463</v>
      </c>
      <c r="AG186" s="148"/>
      <c r="AH186" s="148" t="s">
        <v>461</v>
      </c>
      <c r="AI186" s="148" t="e">
        <v>#REF!</v>
      </c>
      <c r="AJ186" s="148" t="e">
        <v>#REF!</v>
      </c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</row>
    <row r="187" ht="14.25" customHeight="1">
      <c r="A187" s="152" t="s">
        <v>13</v>
      </c>
      <c r="B187" s="135" t="s">
        <v>424</v>
      </c>
      <c r="C187" s="77">
        <v>46161.0</v>
      </c>
      <c r="D187" s="136">
        <v>110096.0</v>
      </c>
      <c r="E187" s="60">
        <v>25.9671</v>
      </c>
      <c r="F187" s="60">
        <v>25.33345</v>
      </c>
      <c r="G187" s="62" t="s">
        <v>464</v>
      </c>
      <c r="H187" s="63" t="s">
        <v>34</v>
      </c>
      <c r="I187" s="155">
        <v>1.0</v>
      </c>
      <c r="J187" s="85">
        <v>1.39</v>
      </c>
      <c r="K187" s="80" t="s">
        <v>68</v>
      </c>
      <c r="L187" s="66" t="s">
        <v>465</v>
      </c>
      <c r="M187" s="156"/>
      <c r="N187" s="157"/>
      <c r="O187" s="87">
        <v>1.39</v>
      </c>
      <c r="P187" s="151" t="s">
        <v>162</v>
      </c>
      <c r="Q187" s="143" t="s">
        <v>154</v>
      </c>
      <c r="R187" s="74" t="s">
        <v>179</v>
      </c>
      <c r="S187" s="158"/>
      <c r="T187" s="146">
        <f t="shared" si="14"/>
        <v>0</v>
      </c>
      <c r="U187" s="146"/>
      <c r="V187" s="147" t="s">
        <v>38</v>
      </c>
      <c r="W187" s="74" t="b">
        <v>0</v>
      </c>
      <c r="X187" s="74" t="b">
        <v>0</v>
      </c>
      <c r="Y187" s="74" t="b">
        <v>0</v>
      </c>
      <c r="Z187" s="148" t="str">
        <f>IFERROR(__xludf.DUMMYFUNCTION("""COMPUTED_VALUE"""),"#REF!")</f>
        <v>#REF!</v>
      </c>
      <c r="AA187" s="148" t="str">
        <f>IFERROR(__xludf.DUMMYFUNCTION("""COMPUTED_VALUE"""),"#REF!")</f>
        <v>#REF!</v>
      </c>
      <c r="AB187" s="148" t="str">
        <f>IFERROR(__xludf.DUMMYFUNCTION("""COMPUTED_VALUE"""),"#REF!")</f>
        <v>#REF!</v>
      </c>
      <c r="AC187" s="153">
        <v>46161.0</v>
      </c>
      <c r="AD187" s="148"/>
      <c r="AE187" s="148">
        <v>110096.0</v>
      </c>
      <c r="AF187" s="148" t="s">
        <v>466</v>
      </c>
      <c r="AG187" s="148"/>
      <c r="AH187" s="148" t="s">
        <v>464</v>
      </c>
      <c r="AI187" s="148" t="e">
        <v>#REF!</v>
      </c>
      <c r="AJ187" s="148" t="e">
        <v>#REF!</v>
      </c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</row>
    <row r="188" ht="14.25" customHeight="1">
      <c r="A188" s="152" t="s">
        <v>13</v>
      </c>
      <c r="B188" s="135" t="s">
        <v>467</v>
      </c>
      <c r="C188" s="77">
        <v>46162.0</v>
      </c>
      <c r="D188" s="161" t="s">
        <v>468</v>
      </c>
      <c r="E188" s="60">
        <v>25.9802</v>
      </c>
      <c r="F188" s="165">
        <v>26.36515</v>
      </c>
      <c r="G188" s="62" t="s">
        <v>469</v>
      </c>
      <c r="H188" s="63" t="s">
        <v>34</v>
      </c>
      <c r="I188" s="155">
        <v>1.0</v>
      </c>
      <c r="J188" s="85">
        <v>3.82</v>
      </c>
      <c r="K188" s="80" t="s">
        <v>188</v>
      </c>
      <c r="L188" s="66" t="s">
        <v>470</v>
      </c>
      <c r="M188" s="156">
        <v>20.0</v>
      </c>
      <c r="N188" s="157">
        <v>0.76</v>
      </c>
      <c r="O188" s="87">
        <v>3.6679999999999997</v>
      </c>
      <c r="P188" s="151" t="s">
        <v>153</v>
      </c>
      <c r="Q188" s="143" t="s">
        <v>154</v>
      </c>
      <c r="R188" s="74" t="s">
        <v>471</v>
      </c>
      <c r="S188" s="158"/>
      <c r="T188" s="146">
        <f t="shared" si="14"/>
        <v>0</v>
      </c>
      <c r="U188" s="146"/>
      <c r="V188" s="147" t="s">
        <v>38</v>
      </c>
      <c r="W188" s="74" t="b">
        <v>0</v>
      </c>
      <c r="X188" s="74" t="b">
        <v>0</v>
      </c>
      <c r="Y188" s="74" t="b">
        <v>0</v>
      </c>
      <c r="Z188" s="148" t="str">
        <f>IFERROR(__xludf.DUMMYFUNCTION("""COMPUTED_VALUE"""),"#REF!")</f>
        <v>#REF!</v>
      </c>
      <c r="AA188" s="148" t="str">
        <f>IFERROR(__xludf.DUMMYFUNCTION("""COMPUTED_VALUE"""),"#REF!")</f>
        <v>#REF!</v>
      </c>
      <c r="AB188" s="148" t="str">
        <f>IFERROR(__xludf.DUMMYFUNCTION("""COMPUTED_VALUE"""),"#REF!")</f>
        <v>#REF!</v>
      </c>
      <c r="AC188" s="153">
        <v>46162.0</v>
      </c>
      <c r="AD188" s="148"/>
      <c r="AE188" s="47" t="s">
        <v>468</v>
      </c>
      <c r="AF188" s="148" t="s">
        <v>472</v>
      </c>
      <c r="AG188" s="148"/>
      <c r="AH188" s="148" t="s">
        <v>469</v>
      </c>
      <c r="AI188" s="148" t="e">
        <v>#REF!</v>
      </c>
      <c r="AJ188" s="148" t="e">
        <v>#REF!</v>
      </c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</row>
    <row r="189" ht="14.25" customHeight="1">
      <c r="A189" s="152" t="s">
        <v>13</v>
      </c>
      <c r="B189" s="135" t="s">
        <v>467</v>
      </c>
      <c r="C189" s="77">
        <v>46162.0</v>
      </c>
      <c r="D189" s="161" t="s">
        <v>473</v>
      </c>
      <c r="E189" s="60">
        <v>26.10492</v>
      </c>
      <c r="F189" s="60">
        <v>26.35665</v>
      </c>
      <c r="G189" s="62" t="s">
        <v>474</v>
      </c>
      <c r="H189" s="63" t="s">
        <v>45</v>
      </c>
      <c r="I189" s="155">
        <v>1.0</v>
      </c>
      <c r="J189" s="85">
        <v>14.13</v>
      </c>
      <c r="K189" s="80" t="s">
        <v>160</v>
      </c>
      <c r="L189" s="66" t="s">
        <v>475</v>
      </c>
      <c r="M189" s="156"/>
      <c r="N189" s="157"/>
      <c r="O189" s="87">
        <v>14.13</v>
      </c>
      <c r="P189" s="151" t="s">
        <v>162</v>
      </c>
      <c r="Q189" s="143" t="s">
        <v>163</v>
      </c>
      <c r="R189" s="74"/>
      <c r="S189" s="158"/>
      <c r="T189" s="146">
        <f t="shared" si="14"/>
        <v>0</v>
      </c>
      <c r="U189" s="146"/>
      <c r="V189" s="147" t="s">
        <v>38</v>
      </c>
      <c r="W189" s="74" t="b">
        <v>0</v>
      </c>
      <c r="X189" s="74" t="b">
        <v>0</v>
      </c>
      <c r="Y189" s="74" t="b">
        <v>0</v>
      </c>
      <c r="Z189" s="148" t="str">
        <f>IFERROR(__xludf.DUMMYFUNCTION("""COMPUTED_VALUE"""),"#REF!")</f>
        <v>#REF!</v>
      </c>
      <c r="AA189" s="148" t="str">
        <f>IFERROR(__xludf.DUMMYFUNCTION("""COMPUTED_VALUE"""),"#REF!")</f>
        <v>#REF!</v>
      </c>
      <c r="AB189" s="148" t="str">
        <f>IFERROR(__xludf.DUMMYFUNCTION("""COMPUTED_VALUE"""),"#REF!")</f>
        <v>#REF!</v>
      </c>
      <c r="AC189" s="153">
        <v>46162.0</v>
      </c>
      <c r="AD189" s="148"/>
      <c r="AE189" s="47" t="s">
        <v>473</v>
      </c>
      <c r="AF189" s="148" t="s">
        <v>476</v>
      </c>
      <c r="AG189" s="148"/>
      <c r="AH189" s="148" t="s">
        <v>474</v>
      </c>
      <c r="AI189" s="148" t="e">
        <v>#REF!</v>
      </c>
      <c r="AJ189" s="148" t="e">
        <v>#REF!</v>
      </c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</row>
    <row r="190" ht="14.25" customHeight="1">
      <c r="A190" s="152" t="s">
        <v>13</v>
      </c>
      <c r="B190" s="135" t="s">
        <v>467</v>
      </c>
      <c r="C190" s="77">
        <v>46162.0</v>
      </c>
      <c r="D190" s="161" t="s">
        <v>477</v>
      </c>
      <c r="E190" s="60">
        <v>25.9956</v>
      </c>
      <c r="F190" s="60">
        <v>25.34027</v>
      </c>
      <c r="G190" s="62" t="s">
        <v>478</v>
      </c>
      <c r="H190" s="63" t="s">
        <v>34</v>
      </c>
      <c r="I190" s="155">
        <v>1.0</v>
      </c>
      <c r="J190" s="85">
        <v>6.87</v>
      </c>
      <c r="K190" s="80" t="s">
        <v>269</v>
      </c>
      <c r="L190" s="66" t="s">
        <v>479</v>
      </c>
      <c r="M190" s="156"/>
      <c r="N190" s="157"/>
      <c r="O190" s="87">
        <v>6.87</v>
      </c>
      <c r="P190" s="151" t="s">
        <v>162</v>
      </c>
      <c r="Q190" s="143" t="s">
        <v>163</v>
      </c>
      <c r="R190" s="74"/>
      <c r="S190" s="158"/>
      <c r="T190" s="146">
        <f t="shared" si="14"/>
        <v>0</v>
      </c>
      <c r="U190" s="146"/>
      <c r="V190" s="147" t="s">
        <v>38</v>
      </c>
      <c r="W190" s="74" t="b">
        <v>0</v>
      </c>
      <c r="X190" s="74" t="b">
        <v>0</v>
      </c>
      <c r="Y190" s="74" t="b">
        <v>0</v>
      </c>
      <c r="Z190" s="148" t="str">
        <f>IFERROR(__xludf.DUMMYFUNCTION("""COMPUTED_VALUE"""),"#REF!")</f>
        <v>#REF!</v>
      </c>
      <c r="AA190" s="148" t="str">
        <f>IFERROR(__xludf.DUMMYFUNCTION("""COMPUTED_VALUE"""),"#REF!")</f>
        <v>#REF!</v>
      </c>
      <c r="AB190" s="148" t="str">
        <f>IFERROR(__xludf.DUMMYFUNCTION("""COMPUTED_VALUE"""),"#REF!")</f>
        <v>#REF!</v>
      </c>
      <c r="AC190" s="153">
        <v>46162.0</v>
      </c>
      <c r="AD190" s="148"/>
      <c r="AE190" s="47" t="s">
        <v>477</v>
      </c>
      <c r="AF190" s="148" t="s">
        <v>480</v>
      </c>
      <c r="AG190" s="148"/>
      <c r="AH190" s="148" t="s">
        <v>478</v>
      </c>
      <c r="AI190" s="148" t="e">
        <v>#REF!</v>
      </c>
      <c r="AJ190" s="148" t="e">
        <v>#REF!</v>
      </c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</row>
    <row r="191" ht="14.25" customHeight="1">
      <c r="A191" s="152" t="s">
        <v>13</v>
      </c>
      <c r="B191" s="135" t="s">
        <v>467</v>
      </c>
      <c r="C191" s="77">
        <v>46162.0</v>
      </c>
      <c r="D191" s="161" t="s">
        <v>481</v>
      </c>
      <c r="E191" s="60">
        <v>25.9496</v>
      </c>
      <c r="F191" s="60">
        <v>26.35707</v>
      </c>
      <c r="G191" s="62" t="s">
        <v>482</v>
      </c>
      <c r="H191" s="63" t="s">
        <v>34</v>
      </c>
      <c r="I191" s="155">
        <v>1.0</v>
      </c>
      <c r="J191" s="85">
        <v>5.41</v>
      </c>
      <c r="K191" s="80" t="s">
        <v>177</v>
      </c>
      <c r="L191" s="66" t="s">
        <v>483</v>
      </c>
      <c r="M191" s="156"/>
      <c r="N191" s="157"/>
      <c r="O191" s="87">
        <v>5.41</v>
      </c>
      <c r="P191" s="151" t="s">
        <v>162</v>
      </c>
      <c r="Q191" s="143" t="s">
        <v>163</v>
      </c>
      <c r="R191" s="74"/>
      <c r="S191" s="158"/>
      <c r="T191" s="146">
        <f t="shared" si="14"/>
        <v>0</v>
      </c>
      <c r="U191" s="146"/>
      <c r="V191" s="147" t="s">
        <v>38</v>
      </c>
      <c r="W191" s="74" t="b">
        <v>0</v>
      </c>
      <c r="X191" s="74" t="b">
        <v>0</v>
      </c>
      <c r="Y191" s="74" t="b">
        <v>0</v>
      </c>
      <c r="Z191" s="148" t="str">
        <f>IFERROR(__xludf.DUMMYFUNCTION("""COMPUTED_VALUE"""),"#REF!")</f>
        <v>#REF!</v>
      </c>
      <c r="AA191" s="148" t="str">
        <f>IFERROR(__xludf.DUMMYFUNCTION("""COMPUTED_VALUE"""),"#REF!")</f>
        <v>#REF!</v>
      </c>
      <c r="AB191" s="148" t="str">
        <f>IFERROR(__xludf.DUMMYFUNCTION("""COMPUTED_VALUE"""),"#REF!")</f>
        <v>#REF!</v>
      </c>
      <c r="AC191" s="153">
        <v>46162.0</v>
      </c>
      <c r="AD191" s="148"/>
      <c r="AE191" s="47" t="s">
        <v>481</v>
      </c>
      <c r="AF191" s="148" t="s">
        <v>484</v>
      </c>
      <c r="AG191" s="148"/>
      <c r="AH191" s="148" t="s">
        <v>482</v>
      </c>
      <c r="AI191" s="148" t="e">
        <v>#REF!</v>
      </c>
      <c r="AJ191" s="148" t="e">
        <v>#REF!</v>
      </c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</row>
    <row r="192" ht="14.25" customHeight="1">
      <c r="A192" s="152" t="s">
        <v>13</v>
      </c>
      <c r="B192" s="135" t="s">
        <v>467</v>
      </c>
      <c r="C192" s="77">
        <v>46162.0</v>
      </c>
      <c r="D192" s="161" t="s">
        <v>485</v>
      </c>
      <c r="E192" s="60">
        <v>25.9382</v>
      </c>
      <c r="F192" s="60">
        <v>25.32563</v>
      </c>
      <c r="G192" s="62" t="s">
        <v>486</v>
      </c>
      <c r="H192" s="63" t="s">
        <v>34</v>
      </c>
      <c r="I192" s="155">
        <v>1.0</v>
      </c>
      <c r="J192" s="85">
        <v>3.41</v>
      </c>
      <c r="K192" s="80" t="s">
        <v>177</v>
      </c>
      <c r="L192" s="66" t="s">
        <v>487</v>
      </c>
      <c r="M192" s="156"/>
      <c r="N192" s="157"/>
      <c r="O192" s="87">
        <v>3.41</v>
      </c>
      <c r="P192" s="151" t="s">
        <v>162</v>
      </c>
      <c r="Q192" s="143" t="s">
        <v>163</v>
      </c>
      <c r="R192" s="74"/>
      <c r="S192" s="158"/>
      <c r="T192" s="146">
        <f t="shared" si="14"/>
        <v>0</v>
      </c>
      <c r="U192" s="146"/>
      <c r="V192" s="147" t="s">
        <v>38</v>
      </c>
      <c r="W192" s="74" t="b">
        <v>0</v>
      </c>
      <c r="X192" s="74" t="b">
        <v>0</v>
      </c>
      <c r="Y192" s="74" t="b">
        <v>0</v>
      </c>
      <c r="Z192" s="148" t="str">
        <f>IFERROR(__xludf.DUMMYFUNCTION("""COMPUTED_VALUE"""),"#REF!")</f>
        <v>#REF!</v>
      </c>
      <c r="AA192" s="148" t="str">
        <f>IFERROR(__xludf.DUMMYFUNCTION("""COMPUTED_VALUE"""),"#REF!")</f>
        <v>#REF!</v>
      </c>
      <c r="AB192" s="148" t="str">
        <f>IFERROR(__xludf.DUMMYFUNCTION("""COMPUTED_VALUE"""),"#REF!")</f>
        <v>#REF!</v>
      </c>
      <c r="AC192" s="153">
        <v>46162.0</v>
      </c>
      <c r="AD192" s="148"/>
      <c r="AE192" s="47" t="s">
        <v>485</v>
      </c>
      <c r="AF192" s="148" t="s">
        <v>488</v>
      </c>
      <c r="AG192" s="148"/>
      <c r="AH192" s="148" t="s">
        <v>486</v>
      </c>
      <c r="AI192" s="148" t="e">
        <v>#REF!</v>
      </c>
      <c r="AJ192" s="148" t="e">
        <v>#REF!</v>
      </c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</row>
    <row r="193" ht="14.25" customHeight="1">
      <c r="A193" s="152" t="s">
        <v>13</v>
      </c>
      <c r="B193" s="135" t="s">
        <v>489</v>
      </c>
      <c r="C193" s="77">
        <v>46163.0</v>
      </c>
      <c r="D193" s="136">
        <v>110102.0</v>
      </c>
      <c r="E193" s="60">
        <v>25.10741</v>
      </c>
      <c r="F193" s="165">
        <v>26.36496</v>
      </c>
      <c r="G193" s="62" t="s">
        <v>490</v>
      </c>
      <c r="H193" s="63" t="s">
        <v>34</v>
      </c>
      <c r="I193" s="155">
        <v>1.0</v>
      </c>
      <c r="J193" s="85">
        <v>4.15</v>
      </c>
      <c r="K193" s="80" t="s">
        <v>46</v>
      </c>
      <c r="L193" s="66" t="s">
        <v>491</v>
      </c>
      <c r="M193" s="156">
        <v>26.0</v>
      </c>
      <c r="N193" s="157">
        <v>0.432</v>
      </c>
      <c r="O193" s="87">
        <v>4.0636</v>
      </c>
      <c r="P193" s="151" t="s">
        <v>153</v>
      </c>
      <c r="Q193" s="143" t="s">
        <v>154</v>
      </c>
      <c r="R193" s="74" t="s">
        <v>471</v>
      </c>
      <c r="S193" s="158"/>
      <c r="T193" s="146">
        <f t="shared" si="14"/>
        <v>0</v>
      </c>
      <c r="U193" s="146"/>
      <c r="V193" s="147" t="s">
        <v>38</v>
      </c>
      <c r="W193" s="74" t="b">
        <v>0</v>
      </c>
      <c r="X193" s="74" t="b">
        <v>0</v>
      </c>
      <c r="Y193" s="74" t="b">
        <v>0</v>
      </c>
      <c r="Z193" s="148" t="str">
        <f>IFERROR(__xludf.DUMMYFUNCTION("""COMPUTED_VALUE"""),"#REF!")</f>
        <v>#REF!</v>
      </c>
      <c r="AA193" s="148" t="str">
        <f>IFERROR(__xludf.DUMMYFUNCTION("""COMPUTED_VALUE"""),"#REF!")</f>
        <v>#REF!</v>
      </c>
      <c r="AB193" s="148" t="str">
        <f>IFERROR(__xludf.DUMMYFUNCTION("""COMPUTED_VALUE"""),"#REF!")</f>
        <v>#REF!</v>
      </c>
      <c r="AC193" s="153">
        <v>46163.0</v>
      </c>
      <c r="AD193" s="148"/>
      <c r="AE193" s="148">
        <v>110102.0</v>
      </c>
      <c r="AF193" s="148" t="s">
        <v>492</v>
      </c>
      <c r="AG193" s="148"/>
      <c r="AH193" s="148" t="s">
        <v>490</v>
      </c>
      <c r="AI193" s="148" t="e">
        <v>#REF!</v>
      </c>
      <c r="AJ193" s="148" t="e">
        <v>#REF!</v>
      </c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</row>
    <row r="194" ht="14.25" customHeight="1">
      <c r="A194" s="152" t="s">
        <v>13</v>
      </c>
      <c r="B194" s="135" t="s">
        <v>489</v>
      </c>
      <c r="C194" s="77">
        <v>46163.0</v>
      </c>
      <c r="D194" s="136">
        <v>110103.0</v>
      </c>
      <c r="E194" s="60">
        <v>25.9543</v>
      </c>
      <c r="F194" s="60">
        <v>26.35235</v>
      </c>
      <c r="G194" s="62" t="s">
        <v>493</v>
      </c>
      <c r="H194" s="63" t="s">
        <v>34</v>
      </c>
      <c r="I194" s="155">
        <v>1.0</v>
      </c>
      <c r="J194" s="85">
        <v>2.38</v>
      </c>
      <c r="K194" s="80" t="s">
        <v>296</v>
      </c>
      <c r="L194" s="66" t="s">
        <v>494</v>
      </c>
      <c r="M194" s="156">
        <v>8.0</v>
      </c>
      <c r="N194" s="157">
        <v>0.21599999999999997</v>
      </c>
      <c r="O194" s="87">
        <v>2.3367999999999998</v>
      </c>
      <c r="P194" s="151" t="s">
        <v>153</v>
      </c>
      <c r="Q194" s="143" t="s">
        <v>163</v>
      </c>
      <c r="R194" s="74" t="s">
        <v>495</v>
      </c>
      <c r="S194" s="158"/>
      <c r="T194" s="146">
        <f t="shared" si="14"/>
        <v>0</v>
      </c>
      <c r="U194" s="146"/>
      <c r="V194" s="147" t="s">
        <v>38</v>
      </c>
      <c r="W194" s="74" t="b">
        <v>0</v>
      </c>
      <c r="X194" s="74" t="b">
        <v>0</v>
      </c>
      <c r="Y194" s="74" t="b">
        <v>0</v>
      </c>
      <c r="Z194" s="148" t="str">
        <f>IFERROR(__xludf.DUMMYFUNCTION("""COMPUTED_VALUE"""),"#REF!")</f>
        <v>#REF!</v>
      </c>
      <c r="AA194" s="148" t="str">
        <f>IFERROR(__xludf.DUMMYFUNCTION("""COMPUTED_VALUE"""),"#REF!")</f>
        <v>#REF!</v>
      </c>
      <c r="AB194" s="148" t="str">
        <f>IFERROR(__xludf.DUMMYFUNCTION("""COMPUTED_VALUE"""),"#REF!")</f>
        <v>#REF!</v>
      </c>
      <c r="AC194" s="153">
        <v>46163.0</v>
      </c>
      <c r="AD194" s="148"/>
      <c r="AE194" s="148">
        <v>110103.0</v>
      </c>
      <c r="AF194" s="148" t="s">
        <v>496</v>
      </c>
      <c r="AG194" s="148"/>
      <c r="AH194" s="148" t="s">
        <v>493</v>
      </c>
      <c r="AI194" s="148" t="e">
        <v>#REF!</v>
      </c>
      <c r="AJ194" s="148" t="e">
        <v>#REF!</v>
      </c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</row>
    <row r="195" ht="14.25" customHeight="1">
      <c r="A195" s="152" t="s">
        <v>13</v>
      </c>
      <c r="B195" s="135" t="s">
        <v>489</v>
      </c>
      <c r="C195" s="77">
        <v>46163.0</v>
      </c>
      <c r="D195" s="136">
        <v>110104.0</v>
      </c>
      <c r="E195" s="60">
        <v>25.9543</v>
      </c>
      <c r="F195" s="60">
        <v>26.35542</v>
      </c>
      <c r="G195" s="62" t="s">
        <v>497</v>
      </c>
      <c r="H195" s="63" t="s">
        <v>34</v>
      </c>
      <c r="I195" s="155">
        <v>1.0</v>
      </c>
      <c r="J195" s="85">
        <v>3.77</v>
      </c>
      <c r="K195" s="80" t="s">
        <v>57</v>
      </c>
      <c r="L195" s="66" t="s">
        <v>498</v>
      </c>
      <c r="M195" s="156"/>
      <c r="N195" s="157"/>
      <c r="O195" s="87">
        <v>3.77</v>
      </c>
      <c r="P195" s="151" t="s">
        <v>153</v>
      </c>
      <c r="Q195" s="143" t="s">
        <v>163</v>
      </c>
      <c r="R195" s="74" t="s">
        <v>495</v>
      </c>
      <c r="S195" s="158"/>
      <c r="T195" s="146">
        <f t="shared" si="14"/>
        <v>0</v>
      </c>
      <c r="U195" s="146"/>
      <c r="V195" s="147" t="s">
        <v>38</v>
      </c>
      <c r="W195" s="74" t="b">
        <v>0</v>
      </c>
      <c r="X195" s="74" t="b">
        <v>0</v>
      </c>
      <c r="Y195" s="74" t="b">
        <v>0</v>
      </c>
      <c r="Z195" s="148" t="str">
        <f>IFERROR(__xludf.DUMMYFUNCTION("""COMPUTED_VALUE"""),"#REF!")</f>
        <v>#REF!</v>
      </c>
      <c r="AA195" s="148" t="str">
        <f>IFERROR(__xludf.DUMMYFUNCTION("""COMPUTED_VALUE"""),"#REF!")</f>
        <v>#REF!</v>
      </c>
      <c r="AB195" s="148" t="str">
        <f>IFERROR(__xludf.DUMMYFUNCTION("""COMPUTED_VALUE"""),"#REF!")</f>
        <v>#REF!</v>
      </c>
      <c r="AC195" s="153">
        <v>46163.0</v>
      </c>
      <c r="AD195" s="148"/>
      <c r="AE195" s="148">
        <v>110104.0</v>
      </c>
      <c r="AF195" s="148" t="s">
        <v>499</v>
      </c>
      <c r="AG195" s="148"/>
      <c r="AH195" s="148" t="s">
        <v>497</v>
      </c>
      <c r="AI195" s="148" t="e">
        <v>#REF!</v>
      </c>
      <c r="AJ195" s="148" t="e">
        <v>#REF!</v>
      </c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</row>
    <row r="196" ht="14.25" customHeight="1">
      <c r="A196" s="152" t="s">
        <v>13</v>
      </c>
      <c r="B196" s="135" t="s">
        <v>489</v>
      </c>
      <c r="C196" s="77">
        <v>46163.0</v>
      </c>
      <c r="D196" s="136">
        <v>110105.0</v>
      </c>
      <c r="E196" s="60">
        <v>26.1081</v>
      </c>
      <c r="F196" s="165">
        <v>26.36585</v>
      </c>
      <c r="G196" s="62" t="s">
        <v>500</v>
      </c>
      <c r="H196" s="63" t="s">
        <v>45</v>
      </c>
      <c r="I196" s="155">
        <v>1.0</v>
      </c>
      <c r="J196" s="85">
        <v>3.14</v>
      </c>
      <c r="K196" s="80" t="s">
        <v>57</v>
      </c>
      <c r="L196" s="66" t="s">
        <v>501</v>
      </c>
      <c r="M196" s="156"/>
      <c r="N196" s="157"/>
      <c r="O196" s="87">
        <v>3.14</v>
      </c>
      <c r="P196" s="151" t="s">
        <v>153</v>
      </c>
      <c r="Q196" s="143" t="s">
        <v>154</v>
      </c>
      <c r="R196" s="74" t="s">
        <v>471</v>
      </c>
      <c r="S196" s="158"/>
      <c r="T196" s="146">
        <f t="shared" si="14"/>
        <v>0</v>
      </c>
      <c r="U196" s="146"/>
      <c r="V196" s="147" t="s">
        <v>38</v>
      </c>
      <c r="W196" s="74" t="b">
        <v>0</v>
      </c>
      <c r="X196" s="74" t="b">
        <v>0</v>
      </c>
      <c r="Y196" s="74" t="b">
        <v>0</v>
      </c>
      <c r="Z196" s="148" t="str">
        <f>IFERROR(__xludf.DUMMYFUNCTION("""COMPUTED_VALUE"""),"#REF!")</f>
        <v>#REF!</v>
      </c>
      <c r="AA196" s="148" t="str">
        <f>IFERROR(__xludf.DUMMYFUNCTION("""COMPUTED_VALUE"""),"#REF!")</f>
        <v>#REF!</v>
      </c>
      <c r="AB196" s="148" t="str">
        <f>IFERROR(__xludf.DUMMYFUNCTION("""COMPUTED_VALUE"""),"#REF!")</f>
        <v>#REF!</v>
      </c>
      <c r="AC196" s="153">
        <v>46163.0</v>
      </c>
      <c r="AD196" s="148"/>
      <c r="AE196" s="148">
        <v>110105.0</v>
      </c>
      <c r="AF196" s="148" t="s">
        <v>502</v>
      </c>
      <c r="AG196" s="148"/>
      <c r="AH196" s="148" t="s">
        <v>500</v>
      </c>
      <c r="AI196" s="148" t="e">
        <v>#REF!</v>
      </c>
      <c r="AJ196" s="148" t="e">
        <v>#REF!</v>
      </c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</row>
    <row r="197" ht="14.25" customHeight="1">
      <c r="A197" s="152" t="s">
        <v>13</v>
      </c>
      <c r="B197" s="135" t="s">
        <v>489</v>
      </c>
      <c r="C197" s="77">
        <v>46163.0</v>
      </c>
      <c r="D197" s="136">
        <v>110106.0</v>
      </c>
      <c r="E197" s="60">
        <v>25.9956</v>
      </c>
      <c r="F197" s="162">
        <v>25.34028</v>
      </c>
      <c r="G197" s="62" t="s">
        <v>503</v>
      </c>
      <c r="H197" s="63" t="s">
        <v>34</v>
      </c>
      <c r="I197" s="155">
        <v>1.0</v>
      </c>
      <c r="J197" s="85">
        <v>7.53</v>
      </c>
      <c r="K197" s="80" t="s">
        <v>269</v>
      </c>
      <c r="L197" s="66" t="s">
        <v>504</v>
      </c>
      <c r="M197" s="156"/>
      <c r="N197" s="157"/>
      <c r="O197" s="87">
        <v>7.53</v>
      </c>
      <c r="P197" s="151" t="s">
        <v>162</v>
      </c>
      <c r="Q197" s="143" t="s">
        <v>163</v>
      </c>
      <c r="R197" s="74"/>
      <c r="S197" s="158"/>
      <c r="T197" s="146">
        <f t="shared" si="14"/>
        <v>0</v>
      </c>
      <c r="U197" s="146"/>
      <c r="V197" s="147" t="s">
        <v>38</v>
      </c>
      <c r="W197" s="74" t="b">
        <v>0</v>
      </c>
      <c r="X197" s="74" t="b">
        <v>0</v>
      </c>
      <c r="Y197" s="74" t="b">
        <v>0</v>
      </c>
      <c r="Z197" s="148" t="str">
        <f>IFERROR(__xludf.DUMMYFUNCTION("""COMPUTED_VALUE"""),"#REF!")</f>
        <v>#REF!</v>
      </c>
      <c r="AA197" s="148" t="str">
        <f>IFERROR(__xludf.DUMMYFUNCTION("""COMPUTED_VALUE"""),"#REF!")</f>
        <v>#REF!</v>
      </c>
      <c r="AB197" s="148" t="str">
        <f>IFERROR(__xludf.DUMMYFUNCTION("""COMPUTED_VALUE"""),"#REF!")</f>
        <v>#REF!</v>
      </c>
      <c r="AC197" s="153">
        <v>46163.0</v>
      </c>
      <c r="AD197" s="148"/>
      <c r="AE197" s="148">
        <v>110106.0</v>
      </c>
      <c r="AF197" s="148" t="s">
        <v>505</v>
      </c>
      <c r="AG197" s="148"/>
      <c r="AH197" s="148" t="s">
        <v>503</v>
      </c>
      <c r="AI197" s="148" t="e">
        <v>#REF!</v>
      </c>
      <c r="AJ197" s="148" t="e">
        <v>#REF!</v>
      </c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</row>
    <row r="198" ht="14.25" customHeight="1">
      <c r="A198" s="152" t="s">
        <v>13</v>
      </c>
      <c r="B198" s="135" t="s">
        <v>489</v>
      </c>
      <c r="C198" s="77">
        <v>46163.0</v>
      </c>
      <c r="D198" s="136">
        <v>110107.0</v>
      </c>
      <c r="E198" s="60">
        <v>25.9956</v>
      </c>
      <c r="F198" s="60">
        <v>25.34029</v>
      </c>
      <c r="G198" s="62" t="s">
        <v>506</v>
      </c>
      <c r="H198" s="63" t="s">
        <v>34</v>
      </c>
      <c r="I198" s="155">
        <v>1.0</v>
      </c>
      <c r="J198" s="85">
        <v>7.47</v>
      </c>
      <c r="K198" s="80" t="s">
        <v>269</v>
      </c>
      <c r="L198" s="66" t="s">
        <v>507</v>
      </c>
      <c r="M198" s="156"/>
      <c r="N198" s="157"/>
      <c r="O198" s="87">
        <v>7.47</v>
      </c>
      <c r="P198" s="151" t="s">
        <v>162</v>
      </c>
      <c r="Q198" s="143" t="s">
        <v>163</v>
      </c>
      <c r="R198" s="74"/>
      <c r="S198" s="158"/>
      <c r="T198" s="146">
        <f t="shared" si="14"/>
        <v>0</v>
      </c>
      <c r="U198" s="146"/>
      <c r="V198" s="147" t="s">
        <v>38</v>
      </c>
      <c r="W198" s="74" t="b">
        <v>0</v>
      </c>
      <c r="X198" s="74" t="b">
        <v>0</v>
      </c>
      <c r="Y198" s="74" t="b">
        <v>0</v>
      </c>
      <c r="Z198" s="148" t="str">
        <f>IFERROR(__xludf.DUMMYFUNCTION("""COMPUTED_VALUE"""),"#REF!")</f>
        <v>#REF!</v>
      </c>
      <c r="AA198" s="148" t="str">
        <f>IFERROR(__xludf.DUMMYFUNCTION("""COMPUTED_VALUE"""),"#REF!")</f>
        <v>#REF!</v>
      </c>
      <c r="AB198" s="148" t="str">
        <f>IFERROR(__xludf.DUMMYFUNCTION("""COMPUTED_VALUE"""),"#REF!")</f>
        <v>#REF!</v>
      </c>
      <c r="AC198" s="153">
        <v>46163.0</v>
      </c>
      <c r="AD198" s="148"/>
      <c r="AE198" s="148">
        <v>110107.0</v>
      </c>
      <c r="AF198" s="148" t="s">
        <v>508</v>
      </c>
      <c r="AG198" s="148"/>
      <c r="AH198" s="148" t="s">
        <v>506</v>
      </c>
      <c r="AI198" s="148" t="e">
        <v>#REF!</v>
      </c>
      <c r="AJ198" s="148" t="e">
        <v>#REF!</v>
      </c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</row>
    <row r="199" ht="14.25" customHeight="1">
      <c r="A199" s="152" t="s">
        <v>13</v>
      </c>
      <c r="B199" s="135" t="s">
        <v>489</v>
      </c>
      <c r="C199" s="77">
        <v>46163.0</v>
      </c>
      <c r="D199" s="136">
        <v>110108.0</v>
      </c>
      <c r="E199" s="60">
        <v>25.9382</v>
      </c>
      <c r="F199" s="60">
        <v>25.33756</v>
      </c>
      <c r="G199" s="62" t="s">
        <v>509</v>
      </c>
      <c r="H199" s="63" t="s">
        <v>34</v>
      </c>
      <c r="I199" s="155">
        <v>1.0</v>
      </c>
      <c r="J199" s="85">
        <v>3.51</v>
      </c>
      <c r="K199" s="80" t="s">
        <v>177</v>
      </c>
      <c r="L199" s="66" t="s">
        <v>510</v>
      </c>
      <c r="M199" s="156"/>
      <c r="N199" s="157"/>
      <c r="O199" s="87">
        <v>3.51</v>
      </c>
      <c r="P199" s="151" t="s">
        <v>162</v>
      </c>
      <c r="Q199" s="143" t="s">
        <v>163</v>
      </c>
      <c r="R199" s="74"/>
      <c r="S199" s="158"/>
      <c r="T199" s="146">
        <f t="shared" si="14"/>
        <v>0</v>
      </c>
      <c r="U199" s="146"/>
      <c r="V199" s="147" t="s">
        <v>38</v>
      </c>
      <c r="W199" s="74" t="b">
        <v>0</v>
      </c>
      <c r="X199" s="74" t="b">
        <v>0</v>
      </c>
      <c r="Y199" s="74" t="b">
        <v>0</v>
      </c>
      <c r="Z199" s="148" t="str">
        <f>IFERROR(__xludf.DUMMYFUNCTION("""COMPUTED_VALUE"""),"#REF!")</f>
        <v>#REF!</v>
      </c>
      <c r="AA199" s="148" t="str">
        <f>IFERROR(__xludf.DUMMYFUNCTION("""COMPUTED_VALUE"""),"#REF!")</f>
        <v>#REF!</v>
      </c>
      <c r="AB199" s="148" t="str">
        <f>IFERROR(__xludf.DUMMYFUNCTION("""COMPUTED_VALUE"""),"#REF!")</f>
        <v>#REF!</v>
      </c>
      <c r="AC199" s="153">
        <v>46163.0</v>
      </c>
      <c r="AD199" s="148"/>
      <c r="AE199" s="148">
        <v>110108.0</v>
      </c>
      <c r="AF199" s="148" t="s">
        <v>511</v>
      </c>
      <c r="AG199" s="148"/>
      <c r="AH199" s="148" t="s">
        <v>509</v>
      </c>
      <c r="AI199" s="148" t="e">
        <v>#REF!</v>
      </c>
      <c r="AJ199" s="148" t="e">
        <v>#REF!</v>
      </c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</row>
    <row r="200" ht="14.25" customHeight="1">
      <c r="A200" s="152" t="s">
        <v>13</v>
      </c>
      <c r="B200" s="135" t="s">
        <v>114</v>
      </c>
      <c r="C200" s="58">
        <v>46163.0</v>
      </c>
      <c r="D200" s="166"/>
      <c r="E200" s="60" t="s">
        <v>255</v>
      </c>
      <c r="F200" s="60"/>
      <c r="G200" s="62" t="s">
        <v>512</v>
      </c>
      <c r="H200" s="63" t="s">
        <v>76</v>
      </c>
      <c r="I200" s="138">
        <v>5.0</v>
      </c>
      <c r="J200" s="63">
        <v>69.08</v>
      </c>
      <c r="K200" s="65" t="s">
        <v>77</v>
      </c>
      <c r="L200" s="66" t="s">
        <v>257</v>
      </c>
      <c r="M200" s="81"/>
      <c r="N200" s="167"/>
      <c r="O200" s="69">
        <f>J200-(N200*0.2)</f>
        <v>69.08</v>
      </c>
      <c r="P200" s="142" t="s">
        <v>162</v>
      </c>
      <c r="Q200" s="143" t="s">
        <v>163</v>
      </c>
      <c r="R200" s="74"/>
      <c r="S200" s="158"/>
      <c r="T200" s="146">
        <f t="shared" si="14"/>
        <v>0</v>
      </c>
      <c r="U200" s="146"/>
      <c r="V200" s="147" t="s">
        <v>84</v>
      </c>
      <c r="W200" s="74" t="b">
        <v>0</v>
      </c>
      <c r="X200" s="74" t="b">
        <v>0</v>
      </c>
      <c r="Y200" s="74" t="b">
        <v>0</v>
      </c>
      <c r="Z200" s="148" t="str">
        <f>IFERROR(__xludf.DUMMYFUNCTION("""COMPUTED_VALUE"""),"#REF!")</f>
        <v>#REF!</v>
      </c>
      <c r="AA200" s="148" t="str">
        <f>IFERROR(__xludf.DUMMYFUNCTION("""COMPUTED_VALUE"""),"#REF!")</f>
        <v>#REF!</v>
      </c>
      <c r="AB200" s="148" t="str">
        <f>IFERROR(__xludf.DUMMYFUNCTION("""COMPUTED_VALUE"""),"#REF!")</f>
        <v>#REF!</v>
      </c>
      <c r="AC200" s="149">
        <v>46163.0</v>
      </c>
      <c r="AD200" s="148"/>
      <c r="AE200" s="148"/>
      <c r="AF200" s="148" t="s">
        <v>258</v>
      </c>
      <c r="AG200" s="148"/>
      <c r="AH200" s="148" t="s">
        <v>512</v>
      </c>
      <c r="AI200" s="148" t="e">
        <v>#REF!</v>
      </c>
      <c r="AJ200" s="148" t="e">
        <v>#REF!</v>
      </c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</row>
    <row r="201" ht="14.25" customHeight="1">
      <c r="A201" s="152" t="s">
        <v>13</v>
      </c>
      <c r="B201" s="135" t="s">
        <v>513</v>
      </c>
      <c r="C201" s="77">
        <v>46165.0</v>
      </c>
      <c r="D201" s="161" t="s">
        <v>514</v>
      </c>
      <c r="E201" s="60">
        <v>26.10743</v>
      </c>
      <c r="F201" s="60">
        <v>26.36499</v>
      </c>
      <c r="G201" s="62" t="s">
        <v>515</v>
      </c>
      <c r="H201" s="154" t="s">
        <v>208</v>
      </c>
      <c r="I201" s="155">
        <v>1.0</v>
      </c>
      <c r="J201" s="85">
        <v>4.44</v>
      </c>
      <c r="K201" s="80" t="s">
        <v>209</v>
      </c>
      <c r="L201" s="66" t="s">
        <v>516</v>
      </c>
      <c r="M201" s="156"/>
      <c r="N201" s="157"/>
      <c r="O201" s="87">
        <v>4.44</v>
      </c>
      <c r="P201" s="151" t="s">
        <v>153</v>
      </c>
      <c r="Q201" s="143" t="s">
        <v>163</v>
      </c>
      <c r="R201" s="74" t="s">
        <v>495</v>
      </c>
      <c r="S201" s="158"/>
      <c r="T201" s="146">
        <f t="shared" si="14"/>
        <v>0</v>
      </c>
      <c r="U201" s="146"/>
      <c r="V201" s="147" t="s">
        <v>38</v>
      </c>
      <c r="W201" s="74" t="b">
        <v>0</v>
      </c>
      <c r="X201" s="74" t="b">
        <v>0</v>
      </c>
      <c r="Y201" s="74" t="b">
        <v>0</v>
      </c>
      <c r="Z201" s="148" t="str">
        <f>IFERROR(__xludf.DUMMYFUNCTION("""COMPUTED_VALUE"""),"#REF!")</f>
        <v>#REF!</v>
      </c>
      <c r="AA201" s="148" t="str">
        <f>IFERROR(__xludf.DUMMYFUNCTION("""COMPUTED_VALUE"""),"#REF!")</f>
        <v>#REF!</v>
      </c>
      <c r="AB201" s="148" t="str">
        <f>IFERROR(__xludf.DUMMYFUNCTION("""COMPUTED_VALUE"""),"#REF!")</f>
        <v>#REF!</v>
      </c>
      <c r="AC201" s="153">
        <v>46165.0</v>
      </c>
      <c r="AD201" s="148"/>
      <c r="AE201" s="47" t="s">
        <v>514</v>
      </c>
      <c r="AF201" s="148" t="s">
        <v>517</v>
      </c>
      <c r="AG201" s="148"/>
      <c r="AH201" s="148" t="s">
        <v>515</v>
      </c>
      <c r="AI201" s="148" t="e">
        <v>#REF!</v>
      </c>
      <c r="AJ201" s="148" t="e">
        <v>#REF!</v>
      </c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</row>
    <row r="202" ht="14.25" customHeight="1">
      <c r="A202" s="152" t="s">
        <v>13</v>
      </c>
      <c r="B202" s="135" t="s">
        <v>513</v>
      </c>
      <c r="C202" s="77">
        <v>46165.0</v>
      </c>
      <c r="D202" s="161" t="s">
        <v>518</v>
      </c>
      <c r="E202" s="60">
        <v>26.10792</v>
      </c>
      <c r="F202" s="60">
        <v>26.36555</v>
      </c>
      <c r="G202" s="62" t="s">
        <v>519</v>
      </c>
      <c r="H202" s="63" t="s">
        <v>34</v>
      </c>
      <c r="I202" s="155">
        <v>1.0</v>
      </c>
      <c r="J202" s="85">
        <v>5.96</v>
      </c>
      <c r="K202" s="80" t="s">
        <v>269</v>
      </c>
      <c r="L202" s="66" t="s">
        <v>520</v>
      </c>
      <c r="M202" s="156"/>
      <c r="N202" s="157"/>
      <c r="O202" s="87">
        <v>5.96</v>
      </c>
      <c r="P202" s="151" t="s">
        <v>153</v>
      </c>
      <c r="Q202" s="143" t="s">
        <v>163</v>
      </c>
      <c r="R202" s="74" t="s">
        <v>495</v>
      </c>
      <c r="S202" s="158"/>
      <c r="T202" s="146">
        <f t="shared" si="14"/>
        <v>0</v>
      </c>
      <c r="U202" s="146"/>
      <c r="V202" s="147" t="s">
        <v>38</v>
      </c>
      <c r="W202" s="74" t="b">
        <v>0</v>
      </c>
      <c r="X202" s="74" t="b">
        <v>0</v>
      </c>
      <c r="Y202" s="74" t="b">
        <v>0</v>
      </c>
      <c r="Z202" s="148" t="str">
        <f>IFERROR(__xludf.DUMMYFUNCTION("""COMPUTED_VALUE"""),"#REF!")</f>
        <v>#REF!</v>
      </c>
      <c r="AA202" s="148" t="str">
        <f>IFERROR(__xludf.DUMMYFUNCTION("""COMPUTED_VALUE"""),"#REF!")</f>
        <v>#REF!</v>
      </c>
      <c r="AB202" s="148" t="str">
        <f>IFERROR(__xludf.DUMMYFUNCTION("""COMPUTED_VALUE"""),"#REF!")</f>
        <v>#REF!</v>
      </c>
      <c r="AC202" s="153">
        <v>46165.0</v>
      </c>
      <c r="AD202" s="148"/>
      <c r="AE202" s="47" t="s">
        <v>518</v>
      </c>
      <c r="AF202" s="148" t="s">
        <v>521</v>
      </c>
      <c r="AG202" s="148"/>
      <c r="AH202" s="148" t="s">
        <v>519</v>
      </c>
      <c r="AI202" s="148" t="e">
        <v>#REF!</v>
      </c>
      <c r="AJ202" s="148" t="e">
        <v>#REF!</v>
      </c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</row>
    <row r="203" ht="14.25" customHeight="1">
      <c r="A203" s="152" t="s">
        <v>13</v>
      </c>
      <c r="B203" s="135" t="s">
        <v>513</v>
      </c>
      <c r="C203" s="77">
        <v>46165.0</v>
      </c>
      <c r="D203" s="161" t="s">
        <v>522</v>
      </c>
      <c r="E203" s="159">
        <v>26.108</v>
      </c>
      <c r="F203" s="60">
        <v>26.36579</v>
      </c>
      <c r="G203" s="62" t="s">
        <v>523</v>
      </c>
      <c r="H203" s="63" t="s">
        <v>34</v>
      </c>
      <c r="I203" s="155">
        <v>1.0</v>
      </c>
      <c r="J203" s="85">
        <v>3.18</v>
      </c>
      <c r="K203" s="80" t="s">
        <v>269</v>
      </c>
      <c r="L203" s="66" t="s">
        <v>210</v>
      </c>
      <c r="M203" s="156"/>
      <c r="N203" s="157"/>
      <c r="O203" s="87">
        <v>3.18</v>
      </c>
      <c r="P203" s="151" t="s">
        <v>153</v>
      </c>
      <c r="Q203" s="143" t="s">
        <v>163</v>
      </c>
      <c r="R203" s="74" t="s">
        <v>495</v>
      </c>
      <c r="S203" s="158"/>
      <c r="T203" s="146">
        <f t="shared" si="14"/>
        <v>0</v>
      </c>
      <c r="U203" s="146"/>
      <c r="V203" s="147" t="s">
        <v>38</v>
      </c>
      <c r="W203" s="74" t="b">
        <v>0</v>
      </c>
      <c r="X203" s="74" t="b">
        <v>0</v>
      </c>
      <c r="Y203" s="74" t="b">
        <v>0</v>
      </c>
      <c r="Z203" s="148" t="str">
        <f>IFERROR(__xludf.DUMMYFUNCTION("""COMPUTED_VALUE"""),"#REF!")</f>
        <v>#REF!</v>
      </c>
      <c r="AA203" s="148" t="str">
        <f>IFERROR(__xludf.DUMMYFUNCTION("""COMPUTED_VALUE"""),"#REF!")</f>
        <v>#REF!</v>
      </c>
      <c r="AB203" s="148" t="str">
        <f>IFERROR(__xludf.DUMMYFUNCTION("""COMPUTED_VALUE"""),"#REF!")</f>
        <v>#REF!</v>
      </c>
      <c r="AC203" s="153">
        <v>46165.0</v>
      </c>
      <c r="AD203" s="148"/>
      <c r="AE203" s="47" t="s">
        <v>522</v>
      </c>
      <c r="AF203" s="148" t="s">
        <v>524</v>
      </c>
      <c r="AG203" s="148"/>
      <c r="AH203" s="148" t="s">
        <v>523</v>
      </c>
      <c r="AI203" s="148" t="e">
        <v>#REF!</v>
      </c>
      <c r="AJ203" s="148" t="e">
        <v>#REF!</v>
      </c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</row>
    <row r="204" ht="14.25" customHeight="1">
      <c r="A204" s="152" t="s">
        <v>13</v>
      </c>
      <c r="B204" s="135" t="s">
        <v>513</v>
      </c>
      <c r="C204" s="77">
        <v>46165.0</v>
      </c>
      <c r="D204" s="161" t="s">
        <v>525</v>
      </c>
      <c r="E204" s="159">
        <v>26.108</v>
      </c>
      <c r="F204" s="159">
        <v>26.3658</v>
      </c>
      <c r="G204" s="62" t="s">
        <v>526</v>
      </c>
      <c r="H204" s="63" t="s">
        <v>34</v>
      </c>
      <c r="I204" s="155">
        <v>1.0</v>
      </c>
      <c r="J204" s="85">
        <v>6.11</v>
      </c>
      <c r="K204" s="80" t="s">
        <v>269</v>
      </c>
      <c r="L204" s="66" t="s">
        <v>210</v>
      </c>
      <c r="M204" s="156"/>
      <c r="N204" s="157"/>
      <c r="O204" s="87">
        <v>6.11</v>
      </c>
      <c r="P204" s="151" t="s">
        <v>153</v>
      </c>
      <c r="Q204" s="143" t="s">
        <v>163</v>
      </c>
      <c r="R204" s="74" t="s">
        <v>495</v>
      </c>
      <c r="S204" s="158"/>
      <c r="T204" s="146">
        <f t="shared" si="14"/>
        <v>0</v>
      </c>
      <c r="U204" s="146"/>
      <c r="V204" s="147" t="s">
        <v>38</v>
      </c>
      <c r="W204" s="74" t="b">
        <v>0</v>
      </c>
      <c r="X204" s="74" t="b">
        <v>0</v>
      </c>
      <c r="Y204" s="74" t="b">
        <v>0</v>
      </c>
      <c r="Z204" s="148" t="str">
        <f>IFERROR(__xludf.DUMMYFUNCTION("""COMPUTED_VALUE"""),"#REF!")</f>
        <v>#REF!</v>
      </c>
      <c r="AA204" s="148" t="str">
        <f>IFERROR(__xludf.DUMMYFUNCTION("""COMPUTED_VALUE"""),"#REF!")</f>
        <v>#REF!</v>
      </c>
      <c r="AB204" s="148" t="str">
        <f>IFERROR(__xludf.DUMMYFUNCTION("""COMPUTED_VALUE"""),"#REF!")</f>
        <v>#REF!</v>
      </c>
      <c r="AC204" s="153">
        <v>46165.0</v>
      </c>
      <c r="AD204" s="148"/>
      <c r="AE204" s="47" t="s">
        <v>525</v>
      </c>
      <c r="AF204" s="148" t="s">
        <v>527</v>
      </c>
      <c r="AG204" s="148"/>
      <c r="AH204" s="148" t="s">
        <v>526</v>
      </c>
      <c r="AI204" s="148" t="e">
        <v>#REF!</v>
      </c>
      <c r="AJ204" s="148" t="e">
        <v>#REF!</v>
      </c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</row>
    <row r="205" ht="14.25" customHeight="1">
      <c r="A205" s="152" t="s">
        <v>13</v>
      </c>
      <c r="B205" s="135" t="s">
        <v>513</v>
      </c>
      <c r="C205" s="77">
        <v>46165.0</v>
      </c>
      <c r="D205" s="161" t="s">
        <v>528</v>
      </c>
      <c r="E205" s="60">
        <v>26.10742</v>
      </c>
      <c r="F205" s="60">
        <v>26.36497</v>
      </c>
      <c r="G205" s="62" t="s">
        <v>529</v>
      </c>
      <c r="H205" s="63" t="s">
        <v>45</v>
      </c>
      <c r="I205" s="155">
        <v>1.0</v>
      </c>
      <c r="J205" s="85">
        <v>1.51</v>
      </c>
      <c r="K205" s="80" t="s">
        <v>177</v>
      </c>
      <c r="L205" s="66" t="s">
        <v>530</v>
      </c>
      <c r="M205" s="156"/>
      <c r="N205" s="157"/>
      <c r="O205" s="87">
        <v>1.51</v>
      </c>
      <c r="P205" s="151" t="s">
        <v>153</v>
      </c>
      <c r="Q205" s="143" t="s">
        <v>163</v>
      </c>
      <c r="R205" s="74" t="s">
        <v>495</v>
      </c>
      <c r="S205" s="158"/>
      <c r="T205" s="146">
        <f t="shared" si="14"/>
        <v>0</v>
      </c>
      <c r="U205" s="146"/>
      <c r="V205" s="147" t="s">
        <v>38</v>
      </c>
      <c r="W205" s="74" t="b">
        <v>0</v>
      </c>
      <c r="X205" s="74" t="b">
        <v>0</v>
      </c>
      <c r="Y205" s="74" t="b">
        <v>0</v>
      </c>
      <c r="Z205" s="148" t="str">
        <f>IFERROR(__xludf.DUMMYFUNCTION("""COMPUTED_VALUE"""),"#REF!")</f>
        <v>#REF!</v>
      </c>
      <c r="AA205" s="148" t="str">
        <f>IFERROR(__xludf.DUMMYFUNCTION("""COMPUTED_VALUE"""),"#REF!")</f>
        <v>#REF!</v>
      </c>
      <c r="AB205" s="148" t="str">
        <f>IFERROR(__xludf.DUMMYFUNCTION("""COMPUTED_VALUE"""),"#REF!")</f>
        <v>#REF!</v>
      </c>
      <c r="AC205" s="153">
        <v>46165.0</v>
      </c>
      <c r="AD205" s="148"/>
      <c r="AE205" s="47" t="s">
        <v>528</v>
      </c>
      <c r="AF205" s="148" t="s">
        <v>531</v>
      </c>
      <c r="AG205" s="148"/>
      <c r="AH205" s="148" t="s">
        <v>529</v>
      </c>
      <c r="AI205" s="148" t="e">
        <v>#REF!</v>
      </c>
      <c r="AJ205" s="148" t="e">
        <v>#REF!</v>
      </c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</row>
    <row r="206" ht="14.25" customHeight="1">
      <c r="A206" s="152" t="s">
        <v>13</v>
      </c>
      <c r="B206" s="135" t="s">
        <v>513</v>
      </c>
      <c r="C206" s="77">
        <v>46165.0</v>
      </c>
      <c r="D206" s="161" t="s">
        <v>532</v>
      </c>
      <c r="E206" s="60">
        <v>26.10742</v>
      </c>
      <c r="F206" s="60">
        <v>26.36498</v>
      </c>
      <c r="G206" s="62" t="s">
        <v>533</v>
      </c>
      <c r="H206" s="63" t="s">
        <v>45</v>
      </c>
      <c r="I206" s="155">
        <v>1.0</v>
      </c>
      <c r="J206" s="85">
        <v>1.53</v>
      </c>
      <c r="K206" s="80" t="s">
        <v>177</v>
      </c>
      <c r="L206" s="66" t="s">
        <v>534</v>
      </c>
      <c r="M206" s="156"/>
      <c r="N206" s="157"/>
      <c r="O206" s="87">
        <v>1.53</v>
      </c>
      <c r="P206" s="151" t="s">
        <v>153</v>
      </c>
      <c r="Q206" s="143" t="s">
        <v>163</v>
      </c>
      <c r="R206" s="74" t="s">
        <v>495</v>
      </c>
      <c r="S206" s="158"/>
      <c r="T206" s="146">
        <f t="shared" si="14"/>
        <v>0</v>
      </c>
      <c r="U206" s="146"/>
      <c r="V206" s="147" t="s">
        <v>38</v>
      </c>
      <c r="W206" s="74" t="b">
        <v>0</v>
      </c>
      <c r="X206" s="74" t="b">
        <v>0</v>
      </c>
      <c r="Y206" s="74" t="b">
        <v>0</v>
      </c>
      <c r="Z206" s="148" t="str">
        <f>IFERROR(__xludf.DUMMYFUNCTION("""COMPUTED_VALUE"""),"#REF!")</f>
        <v>#REF!</v>
      </c>
      <c r="AA206" s="148" t="str">
        <f>IFERROR(__xludf.DUMMYFUNCTION("""COMPUTED_VALUE"""),"#REF!")</f>
        <v>#REF!</v>
      </c>
      <c r="AB206" s="148" t="str">
        <f>IFERROR(__xludf.DUMMYFUNCTION("""COMPUTED_VALUE"""),"#REF!")</f>
        <v>#REF!</v>
      </c>
      <c r="AC206" s="153">
        <v>46165.0</v>
      </c>
      <c r="AD206" s="148"/>
      <c r="AE206" s="47" t="s">
        <v>532</v>
      </c>
      <c r="AF206" s="148" t="s">
        <v>535</v>
      </c>
      <c r="AG206" s="148"/>
      <c r="AH206" s="148" t="s">
        <v>533</v>
      </c>
      <c r="AI206" s="148" t="e">
        <v>#REF!</v>
      </c>
      <c r="AJ206" s="148" t="e">
        <v>#REF!</v>
      </c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</row>
    <row r="207" ht="14.25" customHeight="1">
      <c r="A207" s="152" t="s">
        <v>13</v>
      </c>
      <c r="B207" s="135" t="s">
        <v>513</v>
      </c>
      <c r="C207" s="77">
        <v>46165.0</v>
      </c>
      <c r="D207" s="161" t="s">
        <v>536</v>
      </c>
      <c r="E207" s="60">
        <v>25.9311</v>
      </c>
      <c r="F207" s="60">
        <v>25.32454</v>
      </c>
      <c r="G207" s="62" t="s">
        <v>537</v>
      </c>
      <c r="H207" s="63" t="s">
        <v>34</v>
      </c>
      <c r="I207" s="155">
        <v>1.0</v>
      </c>
      <c r="J207" s="85">
        <v>3.52</v>
      </c>
      <c r="K207" s="80" t="s">
        <v>177</v>
      </c>
      <c r="L207" s="66" t="s">
        <v>538</v>
      </c>
      <c r="M207" s="156"/>
      <c r="N207" s="157"/>
      <c r="O207" s="87">
        <v>3.52</v>
      </c>
      <c r="P207" s="151" t="s">
        <v>162</v>
      </c>
      <c r="Q207" s="143" t="s">
        <v>163</v>
      </c>
      <c r="R207" s="74"/>
      <c r="S207" s="158"/>
      <c r="T207" s="146">
        <f t="shared" si="14"/>
        <v>0</v>
      </c>
      <c r="U207" s="146"/>
      <c r="V207" s="147" t="s">
        <v>38</v>
      </c>
      <c r="W207" s="74" t="b">
        <v>0</v>
      </c>
      <c r="X207" s="74" t="b">
        <v>0</v>
      </c>
      <c r="Y207" s="74" t="b">
        <v>0</v>
      </c>
      <c r="Z207" s="148" t="str">
        <f>IFERROR(__xludf.DUMMYFUNCTION("""COMPUTED_VALUE"""),"#REF!")</f>
        <v>#REF!</v>
      </c>
      <c r="AA207" s="148" t="str">
        <f>IFERROR(__xludf.DUMMYFUNCTION("""COMPUTED_VALUE"""),"#REF!")</f>
        <v>#REF!</v>
      </c>
      <c r="AB207" s="148" t="str">
        <f>IFERROR(__xludf.DUMMYFUNCTION("""COMPUTED_VALUE"""),"#REF!")</f>
        <v>#REF!</v>
      </c>
      <c r="AC207" s="153">
        <v>46165.0</v>
      </c>
      <c r="AD207" s="148"/>
      <c r="AE207" s="47" t="s">
        <v>536</v>
      </c>
      <c r="AF207" s="148" t="s">
        <v>539</v>
      </c>
      <c r="AG207" s="148"/>
      <c r="AH207" s="148" t="s">
        <v>537</v>
      </c>
      <c r="AI207" s="148" t="e">
        <v>#REF!</v>
      </c>
      <c r="AJ207" s="148" t="e">
        <v>#REF!</v>
      </c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</row>
    <row r="208" ht="14.25" customHeight="1">
      <c r="A208" s="152" t="s">
        <v>13</v>
      </c>
      <c r="B208" s="135" t="s">
        <v>513</v>
      </c>
      <c r="C208" s="77">
        <v>46165.0</v>
      </c>
      <c r="D208" s="161" t="s">
        <v>540</v>
      </c>
      <c r="E208" s="60">
        <v>25.9311</v>
      </c>
      <c r="F208" s="159">
        <v>25.3376</v>
      </c>
      <c r="G208" s="62" t="s">
        <v>541</v>
      </c>
      <c r="H208" s="63" t="s">
        <v>34</v>
      </c>
      <c r="I208" s="155">
        <v>1.0</v>
      </c>
      <c r="J208" s="85">
        <v>3.48</v>
      </c>
      <c r="K208" s="80" t="s">
        <v>177</v>
      </c>
      <c r="L208" s="66" t="s">
        <v>542</v>
      </c>
      <c r="M208" s="156"/>
      <c r="N208" s="157"/>
      <c r="O208" s="87">
        <v>3.48</v>
      </c>
      <c r="P208" s="151" t="s">
        <v>162</v>
      </c>
      <c r="Q208" s="143" t="s">
        <v>163</v>
      </c>
      <c r="R208" s="74"/>
      <c r="S208" s="158"/>
      <c r="T208" s="146">
        <f t="shared" si="14"/>
        <v>0</v>
      </c>
      <c r="U208" s="146"/>
      <c r="V208" s="147" t="s">
        <v>38</v>
      </c>
      <c r="W208" s="74" t="b">
        <v>0</v>
      </c>
      <c r="X208" s="74" t="b">
        <v>0</v>
      </c>
      <c r="Y208" s="74" t="b">
        <v>0</v>
      </c>
      <c r="Z208" s="148" t="str">
        <f>IFERROR(__xludf.DUMMYFUNCTION("""COMPUTED_VALUE"""),"#REF!")</f>
        <v>#REF!</v>
      </c>
      <c r="AA208" s="148" t="str">
        <f>IFERROR(__xludf.DUMMYFUNCTION("""COMPUTED_VALUE"""),"#REF!")</f>
        <v>#REF!</v>
      </c>
      <c r="AB208" s="148" t="str">
        <f>IFERROR(__xludf.DUMMYFUNCTION("""COMPUTED_VALUE"""),"#REF!")</f>
        <v>#REF!</v>
      </c>
      <c r="AC208" s="153">
        <v>46165.0</v>
      </c>
      <c r="AD208" s="148"/>
      <c r="AE208" s="47" t="s">
        <v>540</v>
      </c>
      <c r="AF208" s="148" t="s">
        <v>543</v>
      </c>
      <c r="AG208" s="148"/>
      <c r="AH208" s="148" t="s">
        <v>541</v>
      </c>
      <c r="AI208" s="148" t="e">
        <v>#REF!</v>
      </c>
      <c r="AJ208" s="148" t="e">
        <v>#REF!</v>
      </c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</row>
    <row r="209" ht="14.25" customHeight="1">
      <c r="A209" s="152" t="s">
        <v>13</v>
      </c>
      <c r="B209" s="135" t="s">
        <v>513</v>
      </c>
      <c r="C209" s="77">
        <v>46165.0</v>
      </c>
      <c r="D209" s="161" t="s">
        <v>544</v>
      </c>
      <c r="E209" s="60">
        <v>26.10789</v>
      </c>
      <c r="F209" s="60">
        <v>26.36548</v>
      </c>
      <c r="G209" s="62" t="s">
        <v>545</v>
      </c>
      <c r="H209" s="63" t="s">
        <v>34</v>
      </c>
      <c r="I209" s="155">
        <v>1.0</v>
      </c>
      <c r="J209" s="85">
        <v>10.59</v>
      </c>
      <c r="K209" s="80" t="s">
        <v>160</v>
      </c>
      <c r="L209" s="66" t="s">
        <v>546</v>
      </c>
      <c r="M209" s="156">
        <v>5.0</v>
      </c>
      <c r="N209" s="157">
        <v>9.815</v>
      </c>
      <c r="O209" s="87">
        <v>8.626999999999999</v>
      </c>
      <c r="P209" s="151" t="s">
        <v>153</v>
      </c>
      <c r="Q209" s="143" t="s">
        <v>163</v>
      </c>
      <c r="R209" s="74" t="s">
        <v>495</v>
      </c>
      <c r="S209" s="158"/>
      <c r="T209" s="146">
        <f t="shared" si="14"/>
        <v>0</v>
      </c>
      <c r="U209" s="146"/>
      <c r="V209" s="147" t="s">
        <v>38</v>
      </c>
      <c r="W209" s="74" t="b">
        <v>0</v>
      </c>
      <c r="X209" s="74" t="b">
        <v>0</v>
      </c>
      <c r="Y209" s="74" t="b">
        <v>0</v>
      </c>
      <c r="Z209" s="148" t="str">
        <f>IFERROR(__xludf.DUMMYFUNCTION("""COMPUTED_VALUE"""),"#REF!")</f>
        <v>#REF!</v>
      </c>
      <c r="AA209" s="148" t="str">
        <f>IFERROR(__xludf.DUMMYFUNCTION("""COMPUTED_VALUE"""),"#REF!")</f>
        <v>#REF!</v>
      </c>
      <c r="AB209" s="148" t="str">
        <f>IFERROR(__xludf.DUMMYFUNCTION("""COMPUTED_VALUE"""),"#REF!")</f>
        <v>#REF!</v>
      </c>
      <c r="AC209" s="153">
        <v>46165.0</v>
      </c>
      <c r="AD209" s="148"/>
      <c r="AE209" s="47" t="s">
        <v>544</v>
      </c>
      <c r="AF209" s="148" t="s">
        <v>547</v>
      </c>
      <c r="AG209" s="148"/>
      <c r="AH209" s="148" t="s">
        <v>545</v>
      </c>
      <c r="AI209" s="148" t="e">
        <v>#REF!</v>
      </c>
      <c r="AJ209" s="148" t="e">
        <v>#REF!</v>
      </c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</row>
    <row r="210" ht="14.25" customHeight="1">
      <c r="A210" s="152" t="s">
        <v>13</v>
      </c>
      <c r="B210" s="135" t="s">
        <v>548</v>
      </c>
      <c r="C210" s="58">
        <v>46168.0</v>
      </c>
      <c r="D210" s="166"/>
      <c r="E210" s="60" t="s">
        <v>549</v>
      </c>
      <c r="F210" s="60"/>
      <c r="G210" s="62" t="s">
        <v>550</v>
      </c>
      <c r="H210" s="63" t="s">
        <v>551</v>
      </c>
      <c r="I210" s="138">
        <v>1.0</v>
      </c>
      <c r="J210" s="63">
        <v>7.4</v>
      </c>
      <c r="K210" s="80" t="s">
        <v>160</v>
      </c>
      <c r="L210" s="66" t="s">
        <v>552</v>
      </c>
      <c r="M210" s="81"/>
      <c r="N210" s="167"/>
      <c r="O210" s="69">
        <f t="shared" ref="O210:O212" si="16">J210-(N210*0.2)</f>
        <v>7.4</v>
      </c>
      <c r="P210" s="142" t="s">
        <v>162</v>
      </c>
      <c r="Q210" s="143" t="s">
        <v>163</v>
      </c>
      <c r="R210" s="74"/>
      <c r="S210" s="158"/>
      <c r="T210" s="146">
        <f t="shared" si="14"/>
        <v>0</v>
      </c>
      <c r="U210" s="146"/>
      <c r="V210" s="147" t="s">
        <v>38</v>
      </c>
      <c r="W210" s="74" t="b">
        <v>0</v>
      </c>
      <c r="X210" s="74" t="b">
        <v>0</v>
      </c>
      <c r="Y210" s="74" t="b">
        <v>0</v>
      </c>
      <c r="Z210" s="148" t="str">
        <f>IFERROR(__xludf.DUMMYFUNCTION("""COMPUTED_VALUE"""),"#REF!")</f>
        <v>#REF!</v>
      </c>
      <c r="AA210" s="148" t="str">
        <f>IFERROR(__xludf.DUMMYFUNCTION("""COMPUTED_VALUE"""),"#REF!")</f>
        <v>#REF!</v>
      </c>
      <c r="AB210" s="148" t="str">
        <f>IFERROR(__xludf.DUMMYFUNCTION("""COMPUTED_VALUE"""),"#REF!")</f>
        <v>#REF!</v>
      </c>
      <c r="AC210" s="149">
        <v>46168.0</v>
      </c>
      <c r="AD210" s="148"/>
      <c r="AE210" s="148"/>
      <c r="AF210" s="148" t="s">
        <v>553</v>
      </c>
      <c r="AG210" s="148"/>
      <c r="AH210" s="148" t="s">
        <v>550</v>
      </c>
      <c r="AI210" s="148" t="e">
        <v>#REF!</v>
      </c>
      <c r="AJ210" s="148" t="e">
        <v>#REF!</v>
      </c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</row>
    <row r="211" ht="14.25" customHeight="1">
      <c r="A211" s="152" t="s">
        <v>13</v>
      </c>
      <c r="B211" s="135" t="s">
        <v>548</v>
      </c>
      <c r="C211" s="58">
        <v>46168.0</v>
      </c>
      <c r="D211" s="166"/>
      <c r="E211" s="60" t="s">
        <v>549</v>
      </c>
      <c r="F211" s="60"/>
      <c r="G211" s="62" t="s">
        <v>554</v>
      </c>
      <c r="H211" s="63" t="s">
        <v>551</v>
      </c>
      <c r="I211" s="138">
        <v>3.0</v>
      </c>
      <c r="J211" s="63">
        <v>14.42</v>
      </c>
      <c r="K211" s="80" t="s">
        <v>160</v>
      </c>
      <c r="L211" s="66" t="s">
        <v>555</v>
      </c>
      <c r="M211" s="81"/>
      <c r="N211" s="167"/>
      <c r="O211" s="69">
        <f t="shared" si="16"/>
        <v>14.42</v>
      </c>
      <c r="P211" s="142" t="s">
        <v>162</v>
      </c>
      <c r="Q211" s="143" t="s">
        <v>163</v>
      </c>
      <c r="R211" s="74"/>
      <c r="S211" s="158"/>
      <c r="T211" s="146">
        <f t="shared" si="14"/>
        <v>0</v>
      </c>
      <c r="U211" s="146"/>
      <c r="V211" s="147" t="s">
        <v>38</v>
      </c>
      <c r="W211" s="74" t="b">
        <v>0</v>
      </c>
      <c r="X211" s="74" t="b">
        <v>0</v>
      </c>
      <c r="Y211" s="74" t="b">
        <v>0</v>
      </c>
      <c r="Z211" s="148" t="str">
        <f>IFERROR(__xludf.DUMMYFUNCTION("""COMPUTED_VALUE"""),"#REF!")</f>
        <v>#REF!</v>
      </c>
      <c r="AA211" s="148" t="str">
        <f>IFERROR(__xludf.DUMMYFUNCTION("""COMPUTED_VALUE"""),"#REF!")</f>
        <v>#REF!</v>
      </c>
      <c r="AB211" s="148" t="str">
        <f>IFERROR(__xludf.DUMMYFUNCTION("""COMPUTED_VALUE"""),"#REF!")</f>
        <v>#REF!</v>
      </c>
      <c r="AC211" s="149">
        <v>46168.0</v>
      </c>
      <c r="AD211" s="148"/>
      <c r="AE211" s="148"/>
      <c r="AF211" s="148" t="s">
        <v>553</v>
      </c>
      <c r="AG211" s="148"/>
      <c r="AH211" s="148" t="s">
        <v>554</v>
      </c>
      <c r="AI211" s="148" t="e">
        <v>#REF!</v>
      </c>
      <c r="AJ211" s="148" t="e">
        <v>#REF!</v>
      </c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</row>
    <row r="212" ht="14.25" customHeight="1">
      <c r="A212" s="152" t="s">
        <v>13</v>
      </c>
      <c r="B212" s="135" t="s">
        <v>548</v>
      </c>
      <c r="C212" s="58">
        <v>46168.0</v>
      </c>
      <c r="D212" s="166"/>
      <c r="E212" s="60" t="s">
        <v>549</v>
      </c>
      <c r="F212" s="60"/>
      <c r="G212" s="62" t="s">
        <v>556</v>
      </c>
      <c r="H212" s="63" t="s">
        <v>551</v>
      </c>
      <c r="I212" s="138">
        <v>4.0</v>
      </c>
      <c r="J212" s="63">
        <v>17.57</v>
      </c>
      <c r="K212" s="80" t="s">
        <v>160</v>
      </c>
      <c r="L212" s="66" t="s">
        <v>557</v>
      </c>
      <c r="M212" s="81"/>
      <c r="N212" s="167"/>
      <c r="O212" s="69">
        <f t="shared" si="16"/>
        <v>17.57</v>
      </c>
      <c r="P212" s="142" t="s">
        <v>162</v>
      </c>
      <c r="Q212" s="143" t="s">
        <v>163</v>
      </c>
      <c r="R212" s="74"/>
      <c r="S212" s="158"/>
      <c r="T212" s="146">
        <f t="shared" si="14"/>
        <v>0</v>
      </c>
      <c r="U212" s="146"/>
      <c r="V212" s="147" t="s">
        <v>38</v>
      </c>
      <c r="W212" s="74" t="b">
        <v>0</v>
      </c>
      <c r="X212" s="74" t="b">
        <v>0</v>
      </c>
      <c r="Y212" s="74" t="b">
        <v>0</v>
      </c>
      <c r="Z212" s="148" t="str">
        <f>IFERROR(__xludf.DUMMYFUNCTION("""COMPUTED_VALUE"""),"#REF!")</f>
        <v>#REF!</v>
      </c>
      <c r="AA212" s="148" t="str">
        <f>IFERROR(__xludf.DUMMYFUNCTION("""COMPUTED_VALUE"""),"#REF!")</f>
        <v>#REF!</v>
      </c>
      <c r="AB212" s="148" t="str">
        <f>IFERROR(__xludf.DUMMYFUNCTION("""COMPUTED_VALUE"""),"#REF!")</f>
        <v>#REF!</v>
      </c>
      <c r="AC212" s="149">
        <v>46168.0</v>
      </c>
      <c r="AD212" s="148"/>
      <c r="AE212" s="148"/>
      <c r="AF212" s="148" t="s">
        <v>553</v>
      </c>
      <c r="AG212" s="148"/>
      <c r="AH212" s="148" t="s">
        <v>556</v>
      </c>
      <c r="AI212" s="148" t="e">
        <v>#REF!</v>
      </c>
      <c r="AJ212" s="148" t="e">
        <v>#REF!</v>
      </c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</row>
    <row r="213" ht="14.25" customHeight="1">
      <c r="A213" s="152" t="s">
        <v>13</v>
      </c>
      <c r="B213" s="135" t="s">
        <v>558</v>
      </c>
      <c r="C213" s="77">
        <v>46168.0</v>
      </c>
      <c r="D213" s="161" t="s">
        <v>559</v>
      </c>
      <c r="E213" s="60">
        <v>26.10709</v>
      </c>
      <c r="F213" s="60">
        <v>26.36421</v>
      </c>
      <c r="G213" s="62" t="s">
        <v>560</v>
      </c>
      <c r="H213" s="63" t="s">
        <v>277</v>
      </c>
      <c r="I213" s="155">
        <v>1.0</v>
      </c>
      <c r="J213" s="85">
        <v>16.58</v>
      </c>
      <c r="K213" s="80" t="s">
        <v>561</v>
      </c>
      <c r="L213" s="66" t="s">
        <v>562</v>
      </c>
      <c r="M213" s="156">
        <v>40.0</v>
      </c>
      <c r="N213" s="157">
        <v>4.704000000000001</v>
      </c>
      <c r="O213" s="87">
        <v>15.639199999999999</v>
      </c>
      <c r="P213" s="151" t="s">
        <v>153</v>
      </c>
      <c r="Q213" s="143" t="s">
        <v>163</v>
      </c>
      <c r="R213" s="74" t="s">
        <v>495</v>
      </c>
      <c r="S213" s="158"/>
      <c r="T213" s="146">
        <f t="shared" si="14"/>
        <v>0</v>
      </c>
      <c r="U213" s="146"/>
      <c r="V213" s="147" t="s">
        <v>38</v>
      </c>
      <c r="W213" s="74" t="b">
        <v>0</v>
      </c>
      <c r="X213" s="74" t="b">
        <v>0</v>
      </c>
      <c r="Y213" s="74" t="b">
        <v>0</v>
      </c>
      <c r="Z213" s="148" t="str">
        <f>IFERROR(__xludf.DUMMYFUNCTION("""COMPUTED_VALUE"""),"#REF!")</f>
        <v>#REF!</v>
      </c>
      <c r="AA213" s="148" t="str">
        <f>IFERROR(__xludf.DUMMYFUNCTION("""COMPUTED_VALUE"""),"#REF!")</f>
        <v>#REF!</v>
      </c>
      <c r="AB213" s="148" t="str">
        <f>IFERROR(__xludf.DUMMYFUNCTION("""COMPUTED_VALUE"""),"#REF!")</f>
        <v>#REF!</v>
      </c>
      <c r="AC213" s="153">
        <v>46168.0</v>
      </c>
      <c r="AD213" s="148"/>
      <c r="AE213" s="47" t="s">
        <v>559</v>
      </c>
      <c r="AF213" s="148" t="s">
        <v>563</v>
      </c>
      <c r="AG213" s="148"/>
      <c r="AH213" s="148" t="s">
        <v>560</v>
      </c>
      <c r="AI213" s="148" t="e">
        <v>#REF!</v>
      </c>
      <c r="AJ213" s="148" t="e">
        <v>#REF!</v>
      </c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</row>
    <row r="214" ht="14.25" customHeight="1">
      <c r="A214" s="152" t="s">
        <v>13</v>
      </c>
      <c r="B214" s="135" t="s">
        <v>558</v>
      </c>
      <c r="C214" s="77">
        <v>46168.0</v>
      </c>
      <c r="D214" s="161" t="s">
        <v>564</v>
      </c>
      <c r="E214" s="60">
        <v>26.10493</v>
      </c>
      <c r="F214" s="60">
        <v>26.35688</v>
      </c>
      <c r="G214" s="62" t="s">
        <v>565</v>
      </c>
      <c r="H214" s="63" t="s">
        <v>45</v>
      </c>
      <c r="I214" s="155">
        <v>1.0</v>
      </c>
      <c r="J214" s="85">
        <v>31.28</v>
      </c>
      <c r="K214" s="80" t="s">
        <v>160</v>
      </c>
      <c r="L214" s="66" t="s">
        <v>566</v>
      </c>
      <c r="M214" s="156"/>
      <c r="N214" s="157"/>
      <c r="O214" s="87">
        <v>31.28</v>
      </c>
      <c r="P214" s="151" t="s">
        <v>162</v>
      </c>
      <c r="Q214" s="143" t="s">
        <v>163</v>
      </c>
      <c r="R214" s="74"/>
      <c r="S214" s="158"/>
      <c r="T214" s="146">
        <f t="shared" si="14"/>
        <v>0</v>
      </c>
      <c r="U214" s="146"/>
      <c r="V214" s="147" t="s">
        <v>38</v>
      </c>
      <c r="W214" s="74" t="b">
        <v>0</v>
      </c>
      <c r="X214" s="74" t="b">
        <v>0</v>
      </c>
      <c r="Y214" s="74" t="b">
        <v>0</v>
      </c>
      <c r="Z214" s="148" t="str">
        <f>IFERROR(__xludf.DUMMYFUNCTION("""COMPUTED_VALUE"""),"#REF!")</f>
        <v>#REF!</v>
      </c>
      <c r="AA214" s="148" t="str">
        <f>IFERROR(__xludf.DUMMYFUNCTION("""COMPUTED_VALUE"""),"#REF!")</f>
        <v>#REF!</v>
      </c>
      <c r="AB214" s="148" t="str">
        <f>IFERROR(__xludf.DUMMYFUNCTION("""COMPUTED_VALUE"""),"#REF!")</f>
        <v>#REF!</v>
      </c>
      <c r="AC214" s="153">
        <v>46168.0</v>
      </c>
      <c r="AD214" s="148"/>
      <c r="AE214" s="47" t="s">
        <v>564</v>
      </c>
      <c r="AF214" s="148" t="s">
        <v>567</v>
      </c>
      <c r="AG214" s="148"/>
      <c r="AH214" s="148" t="s">
        <v>565</v>
      </c>
      <c r="AI214" s="148" t="e">
        <v>#REF!</v>
      </c>
      <c r="AJ214" s="148" t="e">
        <v>#REF!</v>
      </c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</row>
    <row r="215" ht="14.25" customHeight="1">
      <c r="A215" s="152" t="s">
        <v>13</v>
      </c>
      <c r="B215" s="135" t="s">
        <v>558</v>
      </c>
      <c r="C215" s="77">
        <v>46168.0</v>
      </c>
      <c r="D215" s="161" t="s">
        <v>568</v>
      </c>
      <c r="E215" s="60">
        <v>25.10045</v>
      </c>
      <c r="F215" s="60">
        <v>25.34318</v>
      </c>
      <c r="G215" s="62" t="s">
        <v>569</v>
      </c>
      <c r="H215" s="63" t="s">
        <v>34</v>
      </c>
      <c r="I215" s="155">
        <v>1.0</v>
      </c>
      <c r="J215" s="85">
        <v>22.44</v>
      </c>
      <c r="K215" s="80" t="s">
        <v>77</v>
      </c>
      <c r="L215" s="66" t="s">
        <v>570</v>
      </c>
      <c r="M215" s="156"/>
      <c r="N215" s="157"/>
      <c r="O215" s="87">
        <v>22.44</v>
      </c>
      <c r="P215" s="151" t="s">
        <v>162</v>
      </c>
      <c r="Q215" s="143" t="s">
        <v>163</v>
      </c>
      <c r="R215" s="74"/>
      <c r="S215" s="158"/>
      <c r="T215" s="146">
        <f t="shared" si="14"/>
        <v>0</v>
      </c>
      <c r="U215" s="146"/>
      <c r="V215" s="147" t="s">
        <v>38</v>
      </c>
      <c r="W215" s="74" t="b">
        <v>0</v>
      </c>
      <c r="X215" s="74" t="b">
        <v>0</v>
      </c>
      <c r="Y215" s="74" t="b">
        <v>0</v>
      </c>
      <c r="Z215" s="148" t="str">
        <f>IFERROR(__xludf.DUMMYFUNCTION("""COMPUTED_VALUE"""),"#REF!")</f>
        <v>#REF!</v>
      </c>
      <c r="AA215" s="148" t="str">
        <f>IFERROR(__xludf.DUMMYFUNCTION("""COMPUTED_VALUE"""),"#REF!")</f>
        <v>#REF!</v>
      </c>
      <c r="AB215" s="148" t="str">
        <f>IFERROR(__xludf.DUMMYFUNCTION("""COMPUTED_VALUE"""),"#REF!")</f>
        <v>#REF!</v>
      </c>
      <c r="AC215" s="153">
        <v>46168.0</v>
      </c>
      <c r="AD215" s="148"/>
      <c r="AE215" s="47" t="s">
        <v>568</v>
      </c>
      <c r="AF215" s="148" t="s">
        <v>571</v>
      </c>
      <c r="AG215" s="148"/>
      <c r="AH215" s="148" t="s">
        <v>569</v>
      </c>
      <c r="AI215" s="148" t="e">
        <v>#REF!</v>
      </c>
      <c r="AJ215" s="148" t="e">
        <v>#REF!</v>
      </c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</row>
    <row r="216" ht="14.25" customHeight="1">
      <c r="A216" s="152" t="s">
        <v>13</v>
      </c>
      <c r="B216" s="135" t="s">
        <v>558</v>
      </c>
      <c r="C216" s="77">
        <v>46168.0</v>
      </c>
      <c r="D216" s="161"/>
      <c r="E216" s="60">
        <v>26.10799</v>
      </c>
      <c r="F216" s="60">
        <v>26.36575</v>
      </c>
      <c r="G216" s="62" t="s">
        <v>572</v>
      </c>
      <c r="H216" s="63" t="s">
        <v>34</v>
      </c>
      <c r="I216" s="155">
        <v>1.0</v>
      </c>
      <c r="J216" s="85">
        <v>3.41</v>
      </c>
      <c r="K216" s="80" t="s">
        <v>269</v>
      </c>
      <c r="L216" s="66" t="s">
        <v>210</v>
      </c>
      <c r="M216" s="156"/>
      <c r="N216" s="157"/>
      <c r="O216" s="87">
        <v>3.41</v>
      </c>
      <c r="P216" s="151" t="s">
        <v>162</v>
      </c>
      <c r="Q216" s="143" t="s">
        <v>163</v>
      </c>
      <c r="R216" s="74"/>
      <c r="S216" s="158"/>
      <c r="T216" s="146">
        <f t="shared" si="14"/>
        <v>0</v>
      </c>
      <c r="U216" s="146"/>
      <c r="V216" s="147" t="s">
        <v>38</v>
      </c>
      <c r="W216" s="74" t="b">
        <v>0</v>
      </c>
      <c r="X216" s="74" t="b">
        <v>0</v>
      </c>
      <c r="Y216" s="74" t="b">
        <v>0</v>
      </c>
      <c r="Z216" s="148" t="str">
        <f>IFERROR(__xludf.DUMMYFUNCTION("""COMPUTED_VALUE"""),"#REF!")</f>
        <v>#REF!</v>
      </c>
      <c r="AA216" s="148" t="str">
        <f>IFERROR(__xludf.DUMMYFUNCTION("""COMPUTED_VALUE"""),"#REF!")</f>
        <v>#REF!</v>
      </c>
      <c r="AB216" s="148" t="str">
        <f>IFERROR(__xludf.DUMMYFUNCTION("""COMPUTED_VALUE"""),"#REF!")</f>
        <v>#REF!</v>
      </c>
      <c r="AC216" s="153">
        <v>46168.0</v>
      </c>
      <c r="AD216" s="148"/>
      <c r="AE216" s="47"/>
      <c r="AF216" s="148" t="s">
        <v>573</v>
      </c>
      <c r="AG216" s="148"/>
      <c r="AH216" s="148" t="s">
        <v>572</v>
      </c>
      <c r="AI216" s="148" t="e">
        <v>#REF!</v>
      </c>
      <c r="AJ216" s="148" t="e">
        <v>#REF!</v>
      </c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</row>
    <row r="217" ht="14.25" customHeight="1">
      <c r="A217" s="152" t="s">
        <v>13</v>
      </c>
      <c r="B217" s="135" t="s">
        <v>558</v>
      </c>
      <c r="C217" s="77">
        <v>46168.0</v>
      </c>
      <c r="D217" s="161"/>
      <c r="E217" s="60">
        <v>26.10799</v>
      </c>
      <c r="F217" s="60">
        <v>26.36576</v>
      </c>
      <c r="G217" s="62" t="s">
        <v>574</v>
      </c>
      <c r="H217" s="63" t="s">
        <v>34</v>
      </c>
      <c r="I217" s="155">
        <v>1.0</v>
      </c>
      <c r="J217" s="85">
        <v>6.28</v>
      </c>
      <c r="K217" s="80" t="s">
        <v>269</v>
      </c>
      <c r="L217" s="66" t="s">
        <v>210</v>
      </c>
      <c r="M217" s="156"/>
      <c r="N217" s="157"/>
      <c r="O217" s="87">
        <v>6.28</v>
      </c>
      <c r="P217" s="151" t="s">
        <v>162</v>
      </c>
      <c r="Q217" s="143" t="s">
        <v>163</v>
      </c>
      <c r="R217" s="74"/>
      <c r="S217" s="158"/>
      <c r="T217" s="146">
        <f t="shared" si="14"/>
        <v>0</v>
      </c>
      <c r="U217" s="146"/>
      <c r="V217" s="147" t="s">
        <v>38</v>
      </c>
      <c r="W217" s="74" t="b">
        <v>0</v>
      </c>
      <c r="X217" s="74" t="b">
        <v>0</v>
      </c>
      <c r="Y217" s="74" t="b">
        <v>0</v>
      </c>
      <c r="Z217" s="148" t="str">
        <f>IFERROR(__xludf.DUMMYFUNCTION("""COMPUTED_VALUE"""),"#REF!")</f>
        <v>#REF!</v>
      </c>
      <c r="AA217" s="148" t="str">
        <f>IFERROR(__xludf.DUMMYFUNCTION("""COMPUTED_VALUE"""),"#REF!")</f>
        <v>#REF!</v>
      </c>
      <c r="AB217" s="148" t="str">
        <f>IFERROR(__xludf.DUMMYFUNCTION("""COMPUTED_VALUE"""),"#REF!")</f>
        <v>#REF!</v>
      </c>
      <c r="AC217" s="153">
        <v>46168.0</v>
      </c>
      <c r="AD217" s="148"/>
      <c r="AE217" s="47"/>
      <c r="AF217" s="148" t="s">
        <v>575</v>
      </c>
      <c r="AG217" s="148"/>
      <c r="AH217" s="148" t="s">
        <v>574</v>
      </c>
      <c r="AI217" s="148" t="e">
        <v>#REF!</v>
      </c>
      <c r="AJ217" s="148" t="e">
        <v>#REF!</v>
      </c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</row>
    <row r="218" ht="14.25" customHeight="1">
      <c r="A218" s="152" t="s">
        <v>13</v>
      </c>
      <c r="B218" s="135" t="s">
        <v>558</v>
      </c>
      <c r="C218" s="77">
        <v>46168.0</v>
      </c>
      <c r="D218" s="161"/>
      <c r="E218" s="60">
        <v>26.10799</v>
      </c>
      <c r="F218" s="60">
        <v>26.36571</v>
      </c>
      <c r="G218" s="62" t="s">
        <v>576</v>
      </c>
      <c r="H218" s="63" t="s">
        <v>34</v>
      </c>
      <c r="I218" s="155">
        <v>1.0</v>
      </c>
      <c r="J218" s="85">
        <v>3.26</v>
      </c>
      <c r="K218" s="80" t="s">
        <v>269</v>
      </c>
      <c r="L218" s="66" t="s">
        <v>210</v>
      </c>
      <c r="M218" s="156"/>
      <c r="N218" s="157"/>
      <c r="O218" s="87">
        <v>3.26</v>
      </c>
      <c r="P218" s="151" t="s">
        <v>162</v>
      </c>
      <c r="Q218" s="143" t="s">
        <v>163</v>
      </c>
      <c r="R218" s="74"/>
      <c r="S218" s="158"/>
      <c r="T218" s="146">
        <f t="shared" si="14"/>
        <v>0</v>
      </c>
      <c r="U218" s="146"/>
      <c r="V218" s="147" t="s">
        <v>38</v>
      </c>
      <c r="W218" s="74" t="b">
        <v>0</v>
      </c>
      <c r="X218" s="74" t="b">
        <v>0</v>
      </c>
      <c r="Y218" s="74" t="b">
        <v>0</v>
      </c>
      <c r="Z218" s="148" t="str">
        <f>IFERROR(__xludf.DUMMYFUNCTION("""COMPUTED_VALUE"""),"#REF!")</f>
        <v>#REF!</v>
      </c>
      <c r="AA218" s="148" t="str">
        <f>IFERROR(__xludf.DUMMYFUNCTION("""COMPUTED_VALUE"""),"#REF!")</f>
        <v>#REF!</v>
      </c>
      <c r="AB218" s="148" t="str">
        <f>IFERROR(__xludf.DUMMYFUNCTION("""COMPUTED_VALUE"""),"#REF!")</f>
        <v>#REF!</v>
      </c>
      <c r="AC218" s="153">
        <v>46168.0</v>
      </c>
      <c r="AD218" s="148"/>
      <c r="AE218" s="47"/>
      <c r="AF218" s="148" t="s">
        <v>577</v>
      </c>
      <c r="AG218" s="148"/>
      <c r="AH218" s="148" t="s">
        <v>576</v>
      </c>
      <c r="AI218" s="148" t="e">
        <v>#REF!</v>
      </c>
      <c r="AJ218" s="148" t="e">
        <v>#REF!</v>
      </c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</row>
    <row r="219" ht="14.25" customHeight="1">
      <c r="A219" s="152" t="s">
        <v>13</v>
      </c>
      <c r="B219" s="135" t="s">
        <v>558</v>
      </c>
      <c r="C219" s="77">
        <v>46168.0</v>
      </c>
      <c r="D219" s="161"/>
      <c r="E219" s="60">
        <v>26.10799</v>
      </c>
      <c r="F219" s="60">
        <v>26.36572</v>
      </c>
      <c r="G219" s="62" t="s">
        <v>578</v>
      </c>
      <c r="H219" s="63" t="s">
        <v>34</v>
      </c>
      <c r="I219" s="155">
        <v>1.0</v>
      </c>
      <c r="J219" s="85">
        <v>6.68</v>
      </c>
      <c r="K219" s="80" t="s">
        <v>269</v>
      </c>
      <c r="L219" s="66" t="s">
        <v>210</v>
      </c>
      <c r="M219" s="156"/>
      <c r="N219" s="157"/>
      <c r="O219" s="87">
        <v>6.68</v>
      </c>
      <c r="P219" s="151" t="s">
        <v>162</v>
      </c>
      <c r="Q219" s="143" t="s">
        <v>163</v>
      </c>
      <c r="R219" s="74"/>
      <c r="S219" s="158"/>
      <c r="T219" s="146">
        <f t="shared" si="14"/>
        <v>0</v>
      </c>
      <c r="U219" s="146"/>
      <c r="V219" s="147" t="s">
        <v>38</v>
      </c>
      <c r="W219" s="74" t="b">
        <v>0</v>
      </c>
      <c r="X219" s="74" t="b">
        <v>0</v>
      </c>
      <c r="Y219" s="74" t="b">
        <v>0</v>
      </c>
      <c r="Z219" s="148" t="str">
        <f>IFERROR(__xludf.DUMMYFUNCTION("""COMPUTED_VALUE"""),"#REF!")</f>
        <v>#REF!</v>
      </c>
      <c r="AA219" s="148" t="str">
        <f>IFERROR(__xludf.DUMMYFUNCTION("""COMPUTED_VALUE"""),"#REF!")</f>
        <v>#REF!</v>
      </c>
      <c r="AB219" s="148" t="str">
        <f>IFERROR(__xludf.DUMMYFUNCTION("""COMPUTED_VALUE"""),"#REF!")</f>
        <v>#REF!</v>
      </c>
      <c r="AC219" s="153">
        <v>46168.0</v>
      </c>
      <c r="AD219" s="148"/>
      <c r="AE219" s="47"/>
      <c r="AF219" s="148" t="s">
        <v>579</v>
      </c>
      <c r="AG219" s="148"/>
      <c r="AH219" s="148" t="s">
        <v>578</v>
      </c>
      <c r="AI219" s="148" t="e">
        <v>#REF!</v>
      </c>
      <c r="AJ219" s="148" t="e">
        <v>#REF!</v>
      </c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</row>
    <row r="220" ht="14.25" customHeight="1">
      <c r="A220" s="152" t="s">
        <v>13</v>
      </c>
      <c r="B220" s="135" t="s">
        <v>558</v>
      </c>
      <c r="C220" s="77">
        <v>46168.0</v>
      </c>
      <c r="D220" s="161"/>
      <c r="E220" s="60">
        <v>26.10799</v>
      </c>
      <c r="F220" s="60">
        <v>26.36573</v>
      </c>
      <c r="G220" s="62" t="s">
        <v>580</v>
      </c>
      <c r="H220" s="63" t="s">
        <v>45</v>
      </c>
      <c r="I220" s="155">
        <v>1.0</v>
      </c>
      <c r="J220" s="85">
        <v>3.45</v>
      </c>
      <c r="K220" s="80" t="s">
        <v>269</v>
      </c>
      <c r="L220" s="66" t="s">
        <v>581</v>
      </c>
      <c r="M220" s="156"/>
      <c r="N220" s="157"/>
      <c r="O220" s="87">
        <v>3.45</v>
      </c>
      <c r="P220" s="151" t="s">
        <v>162</v>
      </c>
      <c r="Q220" s="143" t="s">
        <v>163</v>
      </c>
      <c r="R220" s="74"/>
      <c r="S220" s="158"/>
      <c r="T220" s="146">
        <f t="shared" si="14"/>
        <v>0</v>
      </c>
      <c r="U220" s="146"/>
      <c r="V220" s="147" t="s">
        <v>38</v>
      </c>
      <c r="W220" s="74" t="b">
        <v>0</v>
      </c>
      <c r="X220" s="74" t="b">
        <v>0</v>
      </c>
      <c r="Y220" s="74" t="b">
        <v>0</v>
      </c>
      <c r="Z220" s="148" t="str">
        <f>IFERROR(__xludf.DUMMYFUNCTION("""COMPUTED_VALUE"""),"#REF!")</f>
        <v>#REF!</v>
      </c>
      <c r="AA220" s="148" t="str">
        <f>IFERROR(__xludf.DUMMYFUNCTION("""COMPUTED_VALUE"""),"#REF!")</f>
        <v>#REF!</v>
      </c>
      <c r="AB220" s="148" t="str">
        <f>IFERROR(__xludf.DUMMYFUNCTION("""COMPUTED_VALUE"""),"#REF!")</f>
        <v>#REF!</v>
      </c>
      <c r="AC220" s="153">
        <v>46168.0</v>
      </c>
      <c r="AD220" s="148"/>
      <c r="AE220" s="47"/>
      <c r="AF220" s="148" t="s">
        <v>582</v>
      </c>
      <c r="AG220" s="148"/>
      <c r="AH220" s="148" t="s">
        <v>580</v>
      </c>
      <c r="AI220" s="148" t="e">
        <v>#REF!</v>
      </c>
      <c r="AJ220" s="148" t="e">
        <v>#REF!</v>
      </c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</row>
    <row r="221" ht="14.25" customHeight="1">
      <c r="A221" s="152" t="s">
        <v>13</v>
      </c>
      <c r="B221" s="135" t="s">
        <v>558</v>
      </c>
      <c r="C221" s="77">
        <v>46168.0</v>
      </c>
      <c r="D221" s="161"/>
      <c r="E221" s="60">
        <v>26.10799</v>
      </c>
      <c r="F221" s="60">
        <v>26.36574</v>
      </c>
      <c r="G221" s="62" t="s">
        <v>583</v>
      </c>
      <c r="H221" s="63" t="s">
        <v>45</v>
      </c>
      <c r="I221" s="155">
        <v>1.0</v>
      </c>
      <c r="J221" s="85">
        <v>6.08</v>
      </c>
      <c r="K221" s="80" t="s">
        <v>269</v>
      </c>
      <c r="L221" s="66" t="s">
        <v>581</v>
      </c>
      <c r="M221" s="156"/>
      <c r="N221" s="157"/>
      <c r="O221" s="87">
        <v>6.08</v>
      </c>
      <c r="P221" s="151" t="s">
        <v>162</v>
      </c>
      <c r="Q221" s="143" t="s">
        <v>163</v>
      </c>
      <c r="R221" s="74"/>
      <c r="S221" s="158"/>
      <c r="T221" s="146">
        <f t="shared" si="14"/>
        <v>0</v>
      </c>
      <c r="U221" s="146"/>
      <c r="V221" s="147" t="s">
        <v>38</v>
      </c>
      <c r="W221" s="74" t="b">
        <v>0</v>
      </c>
      <c r="X221" s="74" t="b">
        <v>0</v>
      </c>
      <c r="Y221" s="74" t="b">
        <v>0</v>
      </c>
      <c r="Z221" s="148" t="str">
        <f>IFERROR(__xludf.DUMMYFUNCTION("""COMPUTED_VALUE"""),"#REF!")</f>
        <v>#REF!</v>
      </c>
      <c r="AA221" s="148" t="str">
        <f>IFERROR(__xludf.DUMMYFUNCTION("""COMPUTED_VALUE"""),"#REF!")</f>
        <v>#REF!</v>
      </c>
      <c r="AB221" s="148" t="str">
        <f>IFERROR(__xludf.DUMMYFUNCTION("""COMPUTED_VALUE"""),"#REF!")</f>
        <v>#REF!</v>
      </c>
      <c r="AC221" s="153">
        <v>46168.0</v>
      </c>
      <c r="AD221" s="148"/>
      <c r="AE221" s="47"/>
      <c r="AF221" s="148" t="s">
        <v>584</v>
      </c>
      <c r="AG221" s="148"/>
      <c r="AH221" s="148" t="s">
        <v>583</v>
      </c>
      <c r="AI221" s="148" t="e">
        <v>#REF!</v>
      </c>
      <c r="AJ221" s="148" t="e">
        <v>#REF!</v>
      </c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</row>
    <row r="222" ht="14.25" customHeight="1">
      <c r="A222" s="152" t="s">
        <v>13</v>
      </c>
      <c r="B222" s="135" t="s">
        <v>558</v>
      </c>
      <c r="C222" s="77">
        <v>46168.0</v>
      </c>
      <c r="D222" s="161"/>
      <c r="E222" s="60">
        <v>26.10799</v>
      </c>
      <c r="F222" s="60">
        <v>26.36577</v>
      </c>
      <c r="G222" s="62" t="s">
        <v>585</v>
      </c>
      <c r="H222" s="63" t="s">
        <v>45</v>
      </c>
      <c r="I222" s="155">
        <v>1.0</v>
      </c>
      <c r="J222" s="85">
        <v>3.19</v>
      </c>
      <c r="K222" s="80" t="s">
        <v>269</v>
      </c>
      <c r="L222" s="66" t="s">
        <v>581</v>
      </c>
      <c r="M222" s="156"/>
      <c r="N222" s="157"/>
      <c r="O222" s="87">
        <v>3.19</v>
      </c>
      <c r="P222" s="151" t="s">
        <v>162</v>
      </c>
      <c r="Q222" s="143" t="s">
        <v>163</v>
      </c>
      <c r="R222" s="74"/>
      <c r="S222" s="158"/>
      <c r="T222" s="146">
        <f t="shared" si="14"/>
        <v>0</v>
      </c>
      <c r="U222" s="146"/>
      <c r="V222" s="147" t="s">
        <v>38</v>
      </c>
      <c r="W222" s="74" t="b">
        <v>0</v>
      </c>
      <c r="X222" s="74" t="b">
        <v>0</v>
      </c>
      <c r="Y222" s="74" t="b">
        <v>0</v>
      </c>
      <c r="Z222" s="148" t="str">
        <f>IFERROR(__xludf.DUMMYFUNCTION("""COMPUTED_VALUE"""),"#REF!")</f>
        <v>#REF!</v>
      </c>
      <c r="AA222" s="148" t="str">
        <f>IFERROR(__xludf.DUMMYFUNCTION("""COMPUTED_VALUE"""),"#REF!")</f>
        <v>#REF!</v>
      </c>
      <c r="AB222" s="148" t="str">
        <f>IFERROR(__xludf.DUMMYFUNCTION("""COMPUTED_VALUE"""),"#REF!")</f>
        <v>#REF!</v>
      </c>
      <c r="AC222" s="153">
        <v>46168.0</v>
      </c>
      <c r="AD222" s="148"/>
      <c r="AE222" s="47"/>
      <c r="AF222" s="148" t="s">
        <v>586</v>
      </c>
      <c r="AG222" s="148"/>
      <c r="AH222" s="148" t="s">
        <v>585</v>
      </c>
      <c r="AI222" s="148" t="e">
        <v>#REF!</v>
      </c>
      <c r="AJ222" s="148" t="e">
        <v>#REF!</v>
      </c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</row>
    <row r="223" ht="14.25" customHeight="1">
      <c r="A223" s="152" t="s">
        <v>13</v>
      </c>
      <c r="B223" s="135" t="s">
        <v>558</v>
      </c>
      <c r="C223" s="77">
        <v>46168.0</v>
      </c>
      <c r="D223" s="161"/>
      <c r="E223" s="60">
        <v>26.10799</v>
      </c>
      <c r="F223" s="60">
        <v>26.36578</v>
      </c>
      <c r="G223" s="62" t="s">
        <v>587</v>
      </c>
      <c r="H223" s="63" t="s">
        <v>45</v>
      </c>
      <c r="I223" s="155">
        <v>1.0</v>
      </c>
      <c r="J223" s="85">
        <v>6.46</v>
      </c>
      <c r="K223" s="80" t="s">
        <v>269</v>
      </c>
      <c r="L223" s="66" t="s">
        <v>581</v>
      </c>
      <c r="M223" s="156"/>
      <c r="N223" s="157"/>
      <c r="O223" s="87">
        <v>6.46</v>
      </c>
      <c r="P223" s="151" t="s">
        <v>162</v>
      </c>
      <c r="Q223" s="143" t="s">
        <v>163</v>
      </c>
      <c r="R223" s="74"/>
      <c r="S223" s="158"/>
      <c r="T223" s="146">
        <f t="shared" si="14"/>
        <v>0</v>
      </c>
      <c r="U223" s="146"/>
      <c r="V223" s="147" t="s">
        <v>38</v>
      </c>
      <c r="W223" s="74" t="b">
        <v>0</v>
      </c>
      <c r="X223" s="74" t="b">
        <v>0</v>
      </c>
      <c r="Y223" s="74" t="b">
        <v>0</v>
      </c>
      <c r="Z223" s="148" t="str">
        <f>IFERROR(__xludf.DUMMYFUNCTION("""COMPUTED_VALUE"""),"#REF!")</f>
        <v>#REF!</v>
      </c>
      <c r="AA223" s="148" t="str">
        <f>IFERROR(__xludf.DUMMYFUNCTION("""COMPUTED_VALUE"""),"#REF!")</f>
        <v>#REF!</v>
      </c>
      <c r="AB223" s="148" t="str">
        <f>IFERROR(__xludf.DUMMYFUNCTION("""COMPUTED_VALUE"""),"#REF!")</f>
        <v>#REF!</v>
      </c>
      <c r="AC223" s="153">
        <v>46168.0</v>
      </c>
      <c r="AD223" s="148"/>
      <c r="AE223" s="47"/>
      <c r="AF223" s="148" t="s">
        <v>588</v>
      </c>
      <c r="AG223" s="148"/>
      <c r="AH223" s="148" t="s">
        <v>587</v>
      </c>
      <c r="AI223" s="148" t="e">
        <v>#REF!</v>
      </c>
      <c r="AJ223" s="148" t="e">
        <v>#REF!</v>
      </c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</row>
    <row r="224" ht="14.25" customHeight="1">
      <c r="A224" s="152" t="s">
        <v>13</v>
      </c>
      <c r="B224" s="135" t="s">
        <v>589</v>
      </c>
      <c r="C224" s="77">
        <v>46170.0</v>
      </c>
      <c r="D224" s="161"/>
      <c r="E224" s="60">
        <v>26.10688</v>
      </c>
      <c r="F224" s="159">
        <v>26.3642</v>
      </c>
      <c r="G224" s="62" t="s">
        <v>590</v>
      </c>
      <c r="H224" s="63" t="s">
        <v>34</v>
      </c>
      <c r="I224" s="155">
        <v>1.0</v>
      </c>
      <c r="J224" s="85">
        <v>5.5</v>
      </c>
      <c r="K224" s="80" t="s">
        <v>63</v>
      </c>
      <c r="L224" s="66" t="s">
        <v>591</v>
      </c>
      <c r="M224" s="156">
        <v>2.0</v>
      </c>
      <c r="N224" s="157">
        <v>0.028</v>
      </c>
      <c r="O224" s="87">
        <v>5.4944</v>
      </c>
      <c r="P224" s="151" t="s">
        <v>153</v>
      </c>
      <c r="Q224" s="143" t="s">
        <v>163</v>
      </c>
      <c r="R224" s="74" t="s">
        <v>495</v>
      </c>
      <c r="S224" s="158"/>
      <c r="T224" s="146">
        <f t="shared" si="14"/>
        <v>0</v>
      </c>
      <c r="U224" s="146"/>
      <c r="V224" s="147" t="s">
        <v>38</v>
      </c>
      <c r="W224" s="74" t="b">
        <v>0</v>
      </c>
      <c r="X224" s="74" t="b">
        <v>0</v>
      </c>
      <c r="Y224" s="74" t="b">
        <v>0</v>
      </c>
      <c r="Z224" s="148" t="str">
        <f>IFERROR(__xludf.DUMMYFUNCTION("""COMPUTED_VALUE"""),"#REF!")</f>
        <v>#REF!</v>
      </c>
      <c r="AA224" s="148" t="str">
        <f>IFERROR(__xludf.DUMMYFUNCTION("""COMPUTED_VALUE"""),"#REF!")</f>
        <v>#REF!</v>
      </c>
      <c r="AB224" s="148" t="str">
        <f>IFERROR(__xludf.DUMMYFUNCTION("""COMPUTED_VALUE"""),"#REF!")</f>
        <v>#REF!</v>
      </c>
      <c r="AC224" s="153">
        <v>46170.0</v>
      </c>
      <c r="AD224" s="148"/>
      <c r="AE224" s="47"/>
      <c r="AF224" s="148" t="s">
        <v>592</v>
      </c>
      <c r="AG224" s="148"/>
      <c r="AH224" s="148" t="s">
        <v>590</v>
      </c>
      <c r="AI224" s="148" t="e">
        <v>#REF!</v>
      </c>
      <c r="AJ224" s="148" t="e">
        <v>#REF!</v>
      </c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</row>
    <row r="225" ht="14.25" customHeight="1">
      <c r="A225" s="152" t="s">
        <v>13</v>
      </c>
      <c r="B225" s="135" t="s">
        <v>589</v>
      </c>
      <c r="C225" s="77">
        <v>46170.0</v>
      </c>
      <c r="D225" s="161"/>
      <c r="E225" s="60">
        <v>26.10798</v>
      </c>
      <c r="F225" s="159">
        <v>26.3657</v>
      </c>
      <c r="G225" s="62" t="s">
        <v>593</v>
      </c>
      <c r="H225" s="63" t="s">
        <v>34</v>
      </c>
      <c r="I225" s="155">
        <v>1.0</v>
      </c>
      <c r="J225" s="85">
        <v>3.05</v>
      </c>
      <c r="K225" s="80" t="s">
        <v>63</v>
      </c>
      <c r="L225" s="66" t="s">
        <v>594</v>
      </c>
      <c r="M225" s="156">
        <v>10.0</v>
      </c>
      <c r="N225" s="157">
        <v>0.48</v>
      </c>
      <c r="O225" s="87">
        <v>2.9539999999999997</v>
      </c>
      <c r="P225" s="151" t="s">
        <v>153</v>
      </c>
      <c r="Q225" s="143" t="s">
        <v>163</v>
      </c>
      <c r="R225" s="74" t="s">
        <v>495</v>
      </c>
      <c r="S225" s="158"/>
      <c r="T225" s="146">
        <f t="shared" si="14"/>
        <v>0</v>
      </c>
      <c r="U225" s="146"/>
      <c r="V225" s="147" t="s">
        <v>38</v>
      </c>
      <c r="W225" s="74" t="b">
        <v>0</v>
      </c>
      <c r="X225" s="74" t="b">
        <v>0</v>
      </c>
      <c r="Y225" s="74" t="b">
        <v>0</v>
      </c>
      <c r="Z225" s="148" t="str">
        <f>IFERROR(__xludf.DUMMYFUNCTION("""COMPUTED_VALUE"""),"#REF!")</f>
        <v>#REF!</v>
      </c>
      <c r="AA225" s="148" t="str">
        <f>IFERROR(__xludf.DUMMYFUNCTION("""COMPUTED_VALUE"""),"#REF!")</f>
        <v>#REF!</v>
      </c>
      <c r="AB225" s="148" t="str">
        <f>IFERROR(__xludf.DUMMYFUNCTION("""COMPUTED_VALUE"""),"#REF!")</f>
        <v>#REF!</v>
      </c>
      <c r="AC225" s="153">
        <v>46170.0</v>
      </c>
      <c r="AD225" s="148"/>
      <c r="AE225" s="47"/>
      <c r="AF225" s="148" t="s">
        <v>595</v>
      </c>
      <c r="AG225" s="148"/>
      <c r="AH225" s="148" t="s">
        <v>593</v>
      </c>
      <c r="AI225" s="148" t="e">
        <v>#REF!</v>
      </c>
      <c r="AJ225" s="148" t="e">
        <v>#REF!</v>
      </c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</row>
    <row r="226" ht="14.25" customHeight="1">
      <c r="A226" s="152" t="s">
        <v>13</v>
      </c>
      <c r="B226" s="135" t="s">
        <v>589</v>
      </c>
      <c r="C226" s="77">
        <v>46170.0</v>
      </c>
      <c r="D226" s="161"/>
      <c r="E226" s="60">
        <v>25.10044</v>
      </c>
      <c r="F226" s="60">
        <v>25.34278</v>
      </c>
      <c r="G226" s="62" t="s">
        <v>596</v>
      </c>
      <c r="H226" s="63" t="s">
        <v>34</v>
      </c>
      <c r="I226" s="155">
        <v>1.0</v>
      </c>
      <c r="J226" s="85">
        <v>7.56</v>
      </c>
      <c r="K226" s="80" t="s">
        <v>160</v>
      </c>
      <c r="L226" s="66" t="s">
        <v>597</v>
      </c>
      <c r="M226" s="156"/>
      <c r="N226" s="157"/>
      <c r="O226" s="87">
        <v>7.56</v>
      </c>
      <c r="P226" s="151" t="s">
        <v>162</v>
      </c>
      <c r="Q226" s="143" t="s">
        <v>163</v>
      </c>
      <c r="R226" s="74"/>
      <c r="S226" s="158"/>
      <c r="T226" s="146">
        <f t="shared" si="14"/>
        <v>0</v>
      </c>
      <c r="U226" s="146"/>
      <c r="V226" s="147" t="s">
        <v>38</v>
      </c>
      <c r="W226" s="74" t="b">
        <v>0</v>
      </c>
      <c r="X226" s="74" t="b">
        <v>0</v>
      </c>
      <c r="Y226" s="74" t="b">
        <v>0</v>
      </c>
      <c r="Z226" s="148" t="str">
        <f>IFERROR(__xludf.DUMMYFUNCTION("""COMPUTED_VALUE"""),"#REF!")</f>
        <v>#REF!</v>
      </c>
      <c r="AA226" s="148" t="str">
        <f>IFERROR(__xludf.DUMMYFUNCTION("""COMPUTED_VALUE"""),"#REF!")</f>
        <v>#REF!</v>
      </c>
      <c r="AB226" s="148" t="str">
        <f>IFERROR(__xludf.DUMMYFUNCTION("""COMPUTED_VALUE"""),"#REF!")</f>
        <v>#REF!</v>
      </c>
      <c r="AC226" s="153">
        <v>46170.0</v>
      </c>
      <c r="AD226" s="148"/>
      <c r="AE226" s="47"/>
      <c r="AF226" s="148" t="s">
        <v>598</v>
      </c>
      <c r="AG226" s="148"/>
      <c r="AH226" s="148" t="s">
        <v>596</v>
      </c>
      <c r="AI226" s="148" t="e">
        <v>#REF!</v>
      </c>
      <c r="AJ226" s="148" t="e">
        <v>#REF!</v>
      </c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</row>
    <row r="227" ht="14.25" customHeight="1">
      <c r="A227" s="152" t="s">
        <v>13</v>
      </c>
      <c r="B227" s="135" t="s">
        <v>599</v>
      </c>
      <c r="C227" s="77">
        <v>46171.0</v>
      </c>
      <c r="D227" s="161"/>
      <c r="E227" s="60">
        <v>26.10797</v>
      </c>
      <c r="F227" s="60">
        <v>26.36564</v>
      </c>
      <c r="G227" s="62" t="s">
        <v>600</v>
      </c>
      <c r="H227" s="160" t="s">
        <v>304</v>
      </c>
      <c r="I227" s="155">
        <v>1.0</v>
      </c>
      <c r="J227" s="85">
        <v>17.89</v>
      </c>
      <c r="K227" s="80" t="s">
        <v>601</v>
      </c>
      <c r="L227" s="66" t="s">
        <v>602</v>
      </c>
      <c r="M227" s="156"/>
      <c r="N227" s="157"/>
      <c r="O227" s="87">
        <v>17.89</v>
      </c>
      <c r="P227" s="151" t="s">
        <v>153</v>
      </c>
      <c r="Q227" s="143" t="s">
        <v>163</v>
      </c>
      <c r="R227" s="74" t="s">
        <v>495</v>
      </c>
      <c r="S227" s="158"/>
      <c r="T227" s="146">
        <f t="shared" si="14"/>
        <v>0</v>
      </c>
      <c r="U227" s="146"/>
      <c r="V227" s="147" t="s">
        <v>38</v>
      </c>
      <c r="W227" s="74" t="b">
        <v>0</v>
      </c>
      <c r="X227" s="74" t="b">
        <v>0</v>
      </c>
      <c r="Y227" s="74" t="b">
        <v>0</v>
      </c>
      <c r="Z227" s="148" t="str">
        <f>IFERROR(__xludf.DUMMYFUNCTION("""COMPUTED_VALUE"""),"#REF!")</f>
        <v>#REF!</v>
      </c>
      <c r="AA227" s="148" t="str">
        <f>IFERROR(__xludf.DUMMYFUNCTION("""COMPUTED_VALUE"""),"#REF!")</f>
        <v>#REF!</v>
      </c>
      <c r="AB227" s="148" t="str">
        <f>IFERROR(__xludf.DUMMYFUNCTION("""COMPUTED_VALUE"""),"#REF!")</f>
        <v>#REF!</v>
      </c>
      <c r="AC227" s="153">
        <v>46171.0</v>
      </c>
      <c r="AD227" s="148"/>
      <c r="AE227" s="47"/>
      <c r="AF227" s="148" t="s">
        <v>603</v>
      </c>
      <c r="AG227" s="148"/>
      <c r="AH227" s="148" t="s">
        <v>600</v>
      </c>
      <c r="AI227" s="148" t="e">
        <v>#REF!</v>
      </c>
      <c r="AJ227" s="148" t="e">
        <v>#REF!</v>
      </c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</row>
    <row r="228" ht="14.25" customHeight="1">
      <c r="A228" s="152" t="s">
        <v>13</v>
      </c>
      <c r="B228" s="135" t="s">
        <v>599</v>
      </c>
      <c r="C228" s="77">
        <v>46171.0</v>
      </c>
      <c r="D228" s="161"/>
      <c r="E228" s="60">
        <v>26.10633</v>
      </c>
      <c r="F228" s="60">
        <v>26.36335</v>
      </c>
      <c r="G228" s="62" t="s">
        <v>604</v>
      </c>
      <c r="H228" s="160" t="s">
        <v>208</v>
      </c>
      <c r="I228" s="155">
        <v>1.0</v>
      </c>
      <c r="J228" s="85">
        <v>6.42</v>
      </c>
      <c r="K228" s="80" t="s">
        <v>188</v>
      </c>
      <c r="L228" s="66" t="s">
        <v>605</v>
      </c>
      <c r="M228" s="156">
        <v>20.0</v>
      </c>
      <c r="N228" s="157">
        <v>0.11</v>
      </c>
      <c r="O228" s="87">
        <v>6.398</v>
      </c>
      <c r="P228" s="151" t="s">
        <v>153</v>
      </c>
      <c r="Q228" s="143" t="s">
        <v>163</v>
      </c>
      <c r="R228" s="74" t="s">
        <v>495</v>
      </c>
      <c r="S228" s="158"/>
      <c r="T228" s="146">
        <f t="shared" si="14"/>
        <v>0</v>
      </c>
      <c r="U228" s="146"/>
      <c r="V228" s="147" t="s">
        <v>38</v>
      </c>
      <c r="W228" s="74" t="b">
        <v>0</v>
      </c>
      <c r="X228" s="74" t="b">
        <v>0</v>
      </c>
      <c r="Y228" s="74" t="b">
        <v>0</v>
      </c>
      <c r="Z228" s="148" t="str">
        <f>IFERROR(__xludf.DUMMYFUNCTION("""COMPUTED_VALUE"""),"#REF!")</f>
        <v>#REF!</v>
      </c>
      <c r="AA228" s="148" t="str">
        <f>IFERROR(__xludf.DUMMYFUNCTION("""COMPUTED_VALUE"""),"#REF!")</f>
        <v>#REF!</v>
      </c>
      <c r="AB228" s="148" t="str">
        <f>IFERROR(__xludf.DUMMYFUNCTION("""COMPUTED_VALUE"""),"#REF!")</f>
        <v>#REF!</v>
      </c>
      <c r="AC228" s="153">
        <v>46171.0</v>
      </c>
      <c r="AD228" s="148"/>
      <c r="AE228" s="47"/>
      <c r="AF228" s="148" t="s">
        <v>606</v>
      </c>
      <c r="AG228" s="148"/>
      <c r="AH228" s="148" t="s">
        <v>604</v>
      </c>
      <c r="AI228" s="148" t="e">
        <v>#REF!</v>
      </c>
      <c r="AJ228" s="148" t="e">
        <v>#REF!</v>
      </c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</row>
    <row r="229" ht="14.25" customHeight="1">
      <c r="A229" s="152" t="s">
        <v>13</v>
      </c>
      <c r="B229" s="135" t="s">
        <v>607</v>
      </c>
      <c r="C229" s="77">
        <v>46172.0</v>
      </c>
      <c r="D229" s="161"/>
      <c r="E229" s="168" t="s">
        <v>608</v>
      </c>
      <c r="F229" s="168" t="s">
        <v>609</v>
      </c>
      <c r="G229" s="62" t="s">
        <v>610</v>
      </c>
      <c r="H229" s="63" t="s">
        <v>45</v>
      </c>
      <c r="I229" s="155">
        <v>1.0</v>
      </c>
      <c r="J229" s="85">
        <v>20.22</v>
      </c>
      <c r="K229" s="80" t="s">
        <v>136</v>
      </c>
      <c r="L229" s="66" t="s">
        <v>611</v>
      </c>
      <c r="M229" s="156">
        <v>118.0</v>
      </c>
      <c r="N229" s="157">
        <v>12.175</v>
      </c>
      <c r="O229" s="87">
        <v>17.784999999999997</v>
      </c>
      <c r="P229" s="151" t="s">
        <v>153</v>
      </c>
      <c r="Q229" s="143" t="s">
        <v>163</v>
      </c>
      <c r="R229" s="74" t="s">
        <v>495</v>
      </c>
      <c r="S229" s="158"/>
      <c r="T229" s="146">
        <f t="shared" si="14"/>
        <v>0</v>
      </c>
      <c r="U229" s="146"/>
      <c r="V229" s="147" t="s">
        <v>38</v>
      </c>
      <c r="W229" s="74" t="b">
        <v>0</v>
      </c>
      <c r="X229" s="74" t="b">
        <v>0</v>
      </c>
      <c r="Y229" s="74" t="b">
        <v>0</v>
      </c>
      <c r="Z229" s="148" t="str">
        <f>IFERROR(__xludf.DUMMYFUNCTION("""COMPUTED_VALUE"""),"#REF!")</f>
        <v>#REF!</v>
      </c>
      <c r="AA229" s="148" t="str">
        <f>IFERROR(__xludf.DUMMYFUNCTION("""COMPUTED_VALUE"""),"#REF!")</f>
        <v>#REF!</v>
      </c>
      <c r="AB229" s="148" t="str">
        <f>IFERROR(__xludf.DUMMYFUNCTION("""COMPUTED_VALUE"""),"#REF!")</f>
        <v>#REF!</v>
      </c>
      <c r="AC229" s="153">
        <v>46172.0</v>
      </c>
      <c r="AD229" s="148"/>
      <c r="AE229" s="47"/>
      <c r="AF229" s="148" t="s">
        <v>612</v>
      </c>
      <c r="AG229" s="148"/>
      <c r="AH229" s="148" t="s">
        <v>610</v>
      </c>
      <c r="AI229" s="148" t="e">
        <v>#REF!</v>
      </c>
      <c r="AJ229" s="148" t="e">
        <v>#REF!</v>
      </c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</row>
    <row r="230" ht="14.25" customHeight="1">
      <c r="A230" s="134"/>
      <c r="B230" s="135"/>
      <c r="C230" s="77"/>
      <c r="D230" s="136"/>
      <c r="E230" s="60"/>
      <c r="F230" s="60"/>
      <c r="G230" s="62"/>
      <c r="H230" s="63"/>
      <c r="I230" s="138"/>
      <c r="J230" s="79"/>
      <c r="K230" s="80"/>
      <c r="L230" s="66"/>
      <c r="M230" s="81"/>
      <c r="N230" s="167"/>
      <c r="O230" s="69">
        <f t="shared" ref="O230:O329" si="17">J230-(N230*0.2)</f>
        <v>0</v>
      </c>
      <c r="P230" s="151"/>
      <c r="Q230" s="143"/>
      <c r="R230" s="74"/>
      <c r="S230" s="158"/>
      <c r="T230" s="146">
        <f t="shared" si="14"/>
        <v>0</v>
      </c>
      <c r="U230" s="146"/>
      <c r="V230" s="147"/>
      <c r="W230" s="74" t="b">
        <v>0</v>
      </c>
      <c r="X230" s="74" t="b">
        <v>0</v>
      </c>
      <c r="Y230" s="74" t="b">
        <v>0</v>
      </c>
      <c r="Z230" s="148" t="str">
        <f>IFERROR(__xludf.DUMMYFUNCTION("""COMPUTED_VALUE"""),"")</f>
        <v/>
      </c>
      <c r="AA230" s="148" t="str">
        <f>IFERROR(__xludf.DUMMYFUNCTION("""COMPUTED_VALUE"""),"")</f>
        <v/>
      </c>
      <c r="AB230" s="148" t="str">
        <f>IFERROR(__xludf.DUMMYFUNCTION("""COMPUTED_VALUE"""),"")</f>
        <v/>
      </c>
      <c r="AC230" s="153"/>
      <c r="AD230" s="148"/>
      <c r="AE230" s="148"/>
      <c r="AF230" s="148" t="s">
        <v>613</v>
      </c>
      <c r="AG230" s="148"/>
      <c r="AH230" s="148"/>
      <c r="AI230" s="148" t="s">
        <v>614</v>
      </c>
      <c r="AJ230" s="148" t="s">
        <v>614</v>
      </c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</row>
    <row r="231" ht="14.25" customHeight="1">
      <c r="A231" s="134"/>
      <c r="B231" s="135"/>
      <c r="C231" s="77"/>
      <c r="D231" s="136"/>
      <c r="E231" s="60"/>
      <c r="F231" s="60"/>
      <c r="G231" s="62"/>
      <c r="H231" s="63"/>
      <c r="I231" s="138"/>
      <c r="J231" s="79"/>
      <c r="K231" s="80"/>
      <c r="L231" s="66"/>
      <c r="M231" s="81"/>
      <c r="N231" s="167"/>
      <c r="O231" s="69">
        <f t="shared" si="17"/>
        <v>0</v>
      </c>
      <c r="P231" s="151"/>
      <c r="Q231" s="143"/>
      <c r="R231" s="74"/>
      <c r="S231" s="158"/>
      <c r="T231" s="146">
        <f t="shared" si="14"/>
        <v>0</v>
      </c>
      <c r="U231" s="146"/>
      <c r="V231" s="147"/>
      <c r="W231" s="74" t="b">
        <v>0</v>
      </c>
      <c r="X231" s="74" t="b">
        <v>0</v>
      </c>
      <c r="Y231" s="74" t="b">
        <v>0</v>
      </c>
      <c r="Z231" s="148" t="str">
        <f>IFERROR(__xludf.DUMMYFUNCTION("""COMPUTED_VALUE"""),"")</f>
        <v/>
      </c>
      <c r="AA231" s="148" t="str">
        <f>IFERROR(__xludf.DUMMYFUNCTION("""COMPUTED_VALUE"""),"")</f>
        <v/>
      </c>
      <c r="AB231" s="148" t="str">
        <f>IFERROR(__xludf.DUMMYFUNCTION("""COMPUTED_VALUE"""),"")</f>
        <v/>
      </c>
      <c r="AC231" s="153"/>
      <c r="AD231" s="148"/>
      <c r="AE231" s="148"/>
      <c r="AF231" s="148" t="s">
        <v>613</v>
      </c>
      <c r="AG231" s="148"/>
      <c r="AH231" s="148"/>
      <c r="AI231" s="148" t="s">
        <v>614</v>
      </c>
      <c r="AJ231" s="148" t="s">
        <v>614</v>
      </c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</row>
    <row r="232" ht="14.25" customHeight="1">
      <c r="A232" s="134"/>
      <c r="B232" s="135"/>
      <c r="C232" s="77"/>
      <c r="D232" s="136"/>
      <c r="E232" s="60"/>
      <c r="F232" s="60"/>
      <c r="G232" s="62"/>
      <c r="H232" s="63"/>
      <c r="I232" s="138"/>
      <c r="J232" s="79"/>
      <c r="K232" s="80"/>
      <c r="L232" s="66"/>
      <c r="M232" s="81"/>
      <c r="N232" s="167"/>
      <c r="O232" s="69">
        <f t="shared" si="17"/>
        <v>0</v>
      </c>
      <c r="P232" s="151"/>
      <c r="Q232" s="143"/>
      <c r="R232" s="74"/>
      <c r="S232" s="158"/>
      <c r="T232" s="146">
        <f t="shared" si="14"/>
        <v>0</v>
      </c>
      <c r="U232" s="146"/>
      <c r="V232" s="147"/>
      <c r="W232" s="74" t="b">
        <v>0</v>
      </c>
      <c r="X232" s="74" t="b">
        <v>0</v>
      </c>
      <c r="Y232" s="74" t="b">
        <v>0</v>
      </c>
      <c r="Z232" s="148" t="str">
        <f>IFERROR(__xludf.DUMMYFUNCTION("""COMPUTED_VALUE"""),"")</f>
        <v/>
      </c>
      <c r="AA232" s="148" t="str">
        <f>IFERROR(__xludf.DUMMYFUNCTION("""COMPUTED_VALUE"""),"")</f>
        <v/>
      </c>
      <c r="AB232" s="148" t="str">
        <f>IFERROR(__xludf.DUMMYFUNCTION("""COMPUTED_VALUE"""),"")</f>
        <v/>
      </c>
      <c r="AC232" s="153"/>
      <c r="AD232" s="148"/>
      <c r="AE232" s="148"/>
      <c r="AF232" s="148" t="s">
        <v>613</v>
      </c>
      <c r="AG232" s="148"/>
      <c r="AH232" s="148"/>
      <c r="AI232" s="148" t="s">
        <v>614</v>
      </c>
      <c r="AJ232" s="148" t="s">
        <v>614</v>
      </c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</row>
    <row r="233" ht="14.25" customHeight="1">
      <c r="A233" s="134"/>
      <c r="B233" s="135"/>
      <c r="C233" s="77"/>
      <c r="D233" s="136"/>
      <c r="E233" s="60"/>
      <c r="F233" s="60"/>
      <c r="G233" s="62"/>
      <c r="H233" s="63"/>
      <c r="I233" s="138"/>
      <c r="J233" s="79"/>
      <c r="K233" s="80"/>
      <c r="L233" s="66"/>
      <c r="M233" s="81"/>
      <c r="N233" s="167"/>
      <c r="O233" s="69">
        <f t="shared" si="17"/>
        <v>0</v>
      </c>
      <c r="P233" s="151"/>
      <c r="Q233" s="143"/>
      <c r="R233" s="74"/>
      <c r="S233" s="158"/>
      <c r="T233" s="146">
        <f t="shared" si="14"/>
        <v>0</v>
      </c>
      <c r="U233" s="146"/>
      <c r="V233" s="147"/>
      <c r="W233" s="74" t="b">
        <v>0</v>
      </c>
      <c r="X233" s="74" t="b">
        <v>0</v>
      </c>
      <c r="Y233" s="74" t="b">
        <v>0</v>
      </c>
      <c r="Z233" s="148" t="str">
        <f>IFERROR(__xludf.DUMMYFUNCTION("""COMPUTED_VALUE"""),"")</f>
        <v/>
      </c>
      <c r="AA233" s="148" t="str">
        <f>IFERROR(__xludf.DUMMYFUNCTION("""COMPUTED_VALUE"""),"")</f>
        <v/>
      </c>
      <c r="AB233" s="148" t="str">
        <f>IFERROR(__xludf.DUMMYFUNCTION("""COMPUTED_VALUE"""),"")</f>
        <v/>
      </c>
      <c r="AC233" s="153"/>
      <c r="AD233" s="148"/>
      <c r="AE233" s="148"/>
      <c r="AF233" s="148" t="s">
        <v>613</v>
      </c>
      <c r="AG233" s="148"/>
      <c r="AH233" s="148"/>
      <c r="AI233" s="148" t="s">
        <v>614</v>
      </c>
      <c r="AJ233" s="148" t="s">
        <v>614</v>
      </c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</row>
    <row r="234" ht="14.25" customHeight="1">
      <c r="A234" s="134"/>
      <c r="B234" s="135"/>
      <c r="C234" s="77"/>
      <c r="D234" s="136"/>
      <c r="E234" s="60"/>
      <c r="F234" s="60"/>
      <c r="G234" s="62"/>
      <c r="H234" s="154"/>
      <c r="I234" s="138"/>
      <c r="J234" s="79"/>
      <c r="K234" s="80"/>
      <c r="L234" s="66"/>
      <c r="M234" s="81"/>
      <c r="N234" s="167"/>
      <c r="O234" s="69">
        <f t="shared" si="17"/>
        <v>0</v>
      </c>
      <c r="P234" s="151"/>
      <c r="Q234" s="143"/>
      <c r="R234" s="74"/>
      <c r="S234" s="158"/>
      <c r="T234" s="146">
        <f t="shared" si="14"/>
        <v>0</v>
      </c>
      <c r="U234" s="146"/>
      <c r="V234" s="147"/>
      <c r="W234" s="74" t="b">
        <v>0</v>
      </c>
      <c r="X234" s="74" t="b">
        <v>0</v>
      </c>
      <c r="Y234" s="74" t="b">
        <v>0</v>
      </c>
      <c r="Z234" s="148" t="str">
        <f>IFERROR(__xludf.DUMMYFUNCTION("""COMPUTED_VALUE"""),"")</f>
        <v/>
      </c>
      <c r="AA234" s="148" t="str">
        <f>IFERROR(__xludf.DUMMYFUNCTION("""COMPUTED_VALUE"""),"")</f>
        <v/>
      </c>
      <c r="AB234" s="148" t="str">
        <f>IFERROR(__xludf.DUMMYFUNCTION("""COMPUTED_VALUE"""),"")</f>
        <v/>
      </c>
      <c r="AC234" s="153"/>
      <c r="AD234" s="148"/>
      <c r="AE234" s="148"/>
      <c r="AF234" s="148" t="s">
        <v>613</v>
      </c>
      <c r="AG234" s="148"/>
      <c r="AH234" s="148"/>
      <c r="AI234" s="148" t="s">
        <v>614</v>
      </c>
      <c r="AJ234" s="148" t="s">
        <v>614</v>
      </c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</row>
    <row r="235" ht="14.25" customHeight="1">
      <c r="A235" s="134"/>
      <c r="B235" s="135"/>
      <c r="C235" s="77"/>
      <c r="D235" s="136"/>
      <c r="E235" s="60"/>
      <c r="F235" s="60"/>
      <c r="G235" s="62"/>
      <c r="H235" s="154"/>
      <c r="I235" s="138"/>
      <c r="J235" s="79"/>
      <c r="K235" s="80"/>
      <c r="L235" s="66"/>
      <c r="M235" s="81"/>
      <c r="N235" s="167"/>
      <c r="O235" s="69">
        <f t="shared" si="17"/>
        <v>0</v>
      </c>
      <c r="P235" s="151"/>
      <c r="Q235" s="143"/>
      <c r="R235" s="74"/>
      <c r="S235" s="158"/>
      <c r="T235" s="146">
        <f t="shared" si="14"/>
        <v>0</v>
      </c>
      <c r="U235" s="146"/>
      <c r="V235" s="147"/>
      <c r="W235" s="74" t="b">
        <v>0</v>
      </c>
      <c r="X235" s="74" t="b">
        <v>0</v>
      </c>
      <c r="Y235" s="74" t="b">
        <v>0</v>
      </c>
      <c r="Z235" s="148" t="str">
        <f>IFERROR(__xludf.DUMMYFUNCTION("""COMPUTED_VALUE"""),"")</f>
        <v/>
      </c>
      <c r="AA235" s="148" t="str">
        <f>IFERROR(__xludf.DUMMYFUNCTION("""COMPUTED_VALUE"""),"")</f>
        <v/>
      </c>
      <c r="AB235" s="148" t="str">
        <f>IFERROR(__xludf.DUMMYFUNCTION("""COMPUTED_VALUE"""),"")</f>
        <v/>
      </c>
      <c r="AC235" s="153"/>
      <c r="AD235" s="148"/>
      <c r="AE235" s="148"/>
      <c r="AF235" s="148" t="s">
        <v>613</v>
      </c>
      <c r="AG235" s="148"/>
      <c r="AH235" s="148"/>
      <c r="AI235" s="148" t="s">
        <v>614</v>
      </c>
      <c r="AJ235" s="148" t="s">
        <v>614</v>
      </c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</row>
    <row r="236" ht="14.25" customHeight="1">
      <c r="A236" s="134"/>
      <c r="B236" s="135"/>
      <c r="C236" s="77"/>
      <c r="D236" s="136"/>
      <c r="E236" s="60"/>
      <c r="F236" s="60"/>
      <c r="G236" s="62"/>
      <c r="H236" s="63"/>
      <c r="I236" s="138"/>
      <c r="J236" s="79"/>
      <c r="K236" s="80"/>
      <c r="L236" s="66"/>
      <c r="M236" s="81"/>
      <c r="N236" s="167"/>
      <c r="O236" s="69">
        <f t="shared" si="17"/>
        <v>0</v>
      </c>
      <c r="P236" s="151"/>
      <c r="Q236" s="143"/>
      <c r="R236" s="74"/>
      <c r="S236" s="158"/>
      <c r="T236" s="146">
        <f t="shared" si="14"/>
        <v>0</v>
      </c>
      <c r="U236" s="146"/>
      <c r="V236" s="147"/>
      <c r="W236" s="74" t="b">
        <v>0</v>
      </c>
      <c r="X236" s="74" t="b">
        <v>0</v>
      </c>
      <c r="Y236" s="74" t="b">
        <v>0</v>
      </c>
      <c r="Z236" s="148" t="str">
        <f>IFERROR(__xludf.DUMMYFUNCTION("""COMPUTED_VALUE"""),"")</f>
        <v/>
      </c>
      <c r="AA236" s="148" t="str">
        <f>IFERROR(__xludf.DUMMYFUNCTION("""COMPUTED_VALUE"""),"")</f>
        <v/>
      </c>
      <c r="AB236" s="148" t="str">
        <f>IFERROR(__xludf.DUMMYFUNCTION("""COMPUTED_VALUE"""),"")</f>
        <v/>
      </c>
      <c r="AC236" s="153"/>
      <c r="AD236" s="148"/>
      <c r="AE236" s="148"/>
      <c r="AF236" s="148" t="s">
        <v>613</v>
      </c>
      <c r="AG236" s="148"/>
      <c r="AH236" s="148"/>
      <c r="AI236" s="148" t="s">
        <v>614</v>
      </c>
      <c r="AJ236" s="148" t="s">
        <v>614</v>
      </c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</row>
    <row r="237" ht="14.25" customHeight="1">
      <c r="A237" s="134"/>
      <c r="B237" s="135"/>
      <c r="C237" s="77"/>
      <c r="D237" s="136"/>
      <c r="E237" s="60"/>
      <c r="F237" s="60"/>
      <c r="G237" s="62"/>
      <c r="H237" s="63"/>
      <c r="I237" s="138"/>
      <c r="J237" s="79"/>
      <c r="K237" s="80"/>
      <c r="L237" s="66"/>
      <c r="M237" s="81"/>
      <c r="N237" s="167"/>
      <c r="O237" s="69">
        <f t="shared" si="17"/>
        <v>0</v>
      </c>
      <c r="P237" s="151"/>
      <c r="Q237" s="143"/>
      <c r="R237" s="74"/>
      <c r="S237" s="158"/>
      <c r="T237" s="146">
        <f t="shared" si="14"/>
        <v>0</v>
      </c>
      <c r="U237" s="146"/>
      <c r="V237" s="147"/>
      <c r="W237" s="74" t="b">
        <v>0</v>
      </c>
      <c r="X237" s="74" t="b">
        <v>0</v>
      </c>
      <c r="Y237" s="74" t="b">
        <v>0</v>
      </c>
      <c r="Z237" s="148" t="str">
        <f>IFERROR(__xludf.DUMMYFUNCTION("""COMPUTED_VALUE"""),"")</f>
        <v/>
      </c>
      <c r="AA237" s="148" t="str">
        <f>IFERROR(__xludf.DUMMYFUNCTION("""COMPUTED_VALUE"""),"")</f>
        <v/>
      </c>
      <c r="AB237" s="148" t="str">
        <f>IFERROR(__xludf.DUMMYFUNCTION("""COMPUTED_VALUE"""),"")</f>
        <v/>
      </c>
      <c r="AC237" s="153"/>
      <c r="AD237" s="148"/>
      <c r="AE237" s="148"/>
      <c r="AF237" s="148" t="s">
        <v>613</v>
      </c>
      <c r="AG237" s="148"/>
      <c r="AH237" s="148"/>
      <c r="AI237" s="148" t="s">
        <v>614</v>
      </c>
      <c r="AJ237" s="148" t="s">
        <v>614</v>
      </c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</row>
    <row r="238" ht="14.25" customHeight="1">
      <c r="A238" s="134"/>
      <c r="B238" s="135"/>
      <c r="C238" s="77"/>
      <c r="D238" s="136"/>
      <c r="E238" s="60"/>
      <c r="F238" s="60"/>
      <c r="G238" s="62"/>
      <c r="H238" s="63"/>
      <c r="I238" s="138"/>
      <c r="J238" s="79"/>
      <c r="K238" s="80"/>
      <c r="L238" s="66"/>
      <c r="M238" s="81"/>
      <c r="N238" s="167"/>
      <c r="O238" s="69">
        <f t="shared" si="17"/>
        <v>0</v>
      </c>
      <c r="P238" s="151"/>
      <c r="Q238" s="143"/>
      <c r="R238" s="74"/>
      <c r="S238" s="158"/>
      <c r="T238" s="146">
        <f t="shared" si="14"/>
        <v>0</v>
      </c>
      <c r="U238" s="146"/>
      <c r="V238" s="147"/>
      <c r="W238" s="74" t="b">
        <v>0</v>
      </c>
      <c r="X238" s="74" t="b">
        <v>0</v>
      </c>
      <c r="Y238" s="74" t="b">
        <v>0</v>
      </c>
      <c r="Z238" s="148" t="str">
        <f>IFERROR(__xludf.DUMMYFUNCTION("""COMPUTED_VALUE"""),"")</f>
        <v/>
      </c>
      <c r="AA238" s="148" t="str">
        <f>IFERROR(__xludf.DUMMYFUNCTION("""COMPUTED_VALUE"""),"")</f>
        <v/>
      </c>
      <c r="AB238" s="148" t="str">
        <f>IFERROR(__xludf.DUMMYFUNCTION("""COMPUTED_VALUE"""),"")</f>
        <v/>
      </c>
      <c r="AC238" s="153"/>
      <c r="AD238" s="148"/>
      <c r="AE238" s="148"/>
      <c r="AF238" s="148" t="s">
        <v>613</v>
      </c>
      <c r="AG238" s="148"/>
      <c r="AH238" s="148"/>
      <c r="AI238" s="148" t="s">
        <v>614</v>
      </c>
      <c r="AJ238" s="148" t="s">
        <v>614</v>
      </c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</row>
    <row r="239" ht="14.25" customHeight="1">
      <c r="A239" s="134"/>
      <c r="B239" s="135"/>
      <c r="C239" s="77"/>
      <c r="D239" s="136"/>
      <c r="E239" s="60"/>
      <c r="F239" s="60"/>
      <c r="G239" s="62"/>
      <c r="H239" s="63"/>
      <c r="I239" s="138"/>
      <c r="J239" s="79"/>
      <c r="K239" s="80"/>
      <c r="L239" s="66"/>
      <c r="M239" s="81"/>
      <c r="N239" s="167"/>
      <c r="O239" s="69">
        <f t="shared" si="17"/>
        <v>0</v>
      </c>
      <c r="P239" s="151"/>
      <c r="Q239" s="143"/>
      <c r="R239" s="74"/>
      <c r="S239" s="158"/>
      <c r="T239" s="146">
        <f t="shared" si="14"/>
        <v>0</v>
      </c>
      <c r="U239" s="146"/>
      <c r="V239" s="147"/>
      <c r="W239" s="74" t="b">
        <v>0</v>
      </c>
      <c r="X239" s="74" t="b">
        <v>0</v>
      </c>
      <c r="Y239" s="74" t="b">
        <v>0</v>
      </c>
      <c r="Z239" s="148" t="str">
        <f>IFERROR(__xludf.DUMMYFUNCTION("""COMPUTED_VALUE"""),"")</f>
        <v/>
      </c>
      <c r="AA239" s="148" t="str">
        <f>IFERROR(__xludf.DUMMYFUNCTION("""COMPUTED_VALUE"""),"")</f>
        <v/>
      </c>
      <c r="AB239" s="148" t="str">
        <f>IFERROR(__xludf.DUMMYFUNCTION("""COMPUTED_VALUE"""),"")</f>
        <v/>
      </c>
      <c r="AC239" s="153"/>
      <c r="AD239" s="148"/>
      <c r="AE239" s="148"/>
      <c r="AF239" s="148" t="s">
        <v>613</v>
      </c>
      <c r="AG239" s="148"/>
      <c r="AH239" s="148"/>
      <c r="AI239" s="148" t="s">
        <v>614</v>
      </c>
      <c r="AJ239" s="148" t="s">
        <v>614</v>
      </c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</row>
    <row r="240" ht="14.25" customHeight="1">
      <c r="A240" s="134"/>
      <c r="B240" s="135"/>
      <c r="C240" s="77"/>
      <c r="D240" s="136"/>
      <c r="E240" s="60"/>
      <c r="F240" s="60"/>
      <c r="G240" s="62"/>
      <c r="H240" s="63"/>
      <c r="I240" s="138"/>
      <c r="J240" s="79"/>
      <c r="K240" s="80"/>
      <c r="L240" s="66"/>
      <c r="M240" s="81"/>
      <c r="N240" s="167"/>
      <c r="O240" s="69">
        <f t="shared" si="17"/>
        <v>0</v>
      </c>
      <c r="P240" s="151"/>
      <c r="Q240" s="143"/>
      <c r="R240" s="74"/>
      <c r="S240" s="158"/>
      <c r="T240" s="146">
        <f t="shared" si="14"/>
        <v>0</v>
      </c>
      <c r="U240" s="146"/>
      <c r="V240" s="147"/>
      <c r="W240" s="74" t="b">
        <v>0</v>
      </c>
      <c r="X240" s="74" t="b">
        <v>0</v>
      </c>
      <c r="Y240" s="74" t="b">
        <v>0</v>
      </c>
      <c r="Z240" s="148" t="str">
        <f>IFERROR(__xludf.DUMMYFUNCTION("""COMPUTED_VALUE"""),"")</f>
        <v/>
      </c>
      <c r="AA240" s="148" t="str">
        <f>IFERROR(__xludf.DUMMYFUNCTION("""COMPUTED_VALUE"""),"")</f>
        <v/>
      </c>
      <c r="AB240" s="148" t="str">
        <f>IFERROR(__xludf.DUMMYFUNCTION("""COMPUTED_VALUE"""),"")</f>
        <v/>
      </c>
      <c r="AC240" s="153"/>
      <c r="AD240" s="148"/>
      <c r="AE240" s="148"/>
      <c r="AF240" s="148" t="s">
        <v>613</v>
      </c>
      <c r="AG240" s="148"/>
      <c r="AH240" s="148"/>
      <c r="AI240" s="148" t="s">
        <v>614</v>
      </c>
      <c r="AJ240" s="148" t="s">
        <v>614</v>
      </c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</row>
    <row r="241" ht="14.25" customHeight="1">
      <c r="A241" s="134"/>
      <c r="B241" s="135"/>
      <c r="C241" s="77"/>
      <c r="D241" s="136"/>
      <c r="E241" s="60"/>
      <c r="F241" s="60"/>
      <c r="G241" s="62"/>
      <c r="H241" s="63"/>
      <c r="I241" s="138"/>
      <c r="J241" s="79"/>
      <c r="K241" s="80"/>
      <c r="L241" s="66"/>
      <c r="M241" s="81"/>
      <c r="N241" s="167"/>
      <c r="O241" s="69">
        <f t="shared" si="17"/>
        <v>0</v>
      </c>
      <c r="P241" s="151"/>
      <c r="Q241" s="143"/>
      <c r="R241" s="74"/>
      <c r="S241" s="158"/>
      <c r="T241" s="146">
        <f t="shared" si="14"/>
        <v>0</v>
      </c>
      <c r="U241" s="146"/>
      <c r="V241" s="147"/>
      <c r="W241" s="74" t="b">
        <v>0</v>
      </c>
      <c r="X241" s="74" t="b">
        <v>0</v>
      </c>
      <c r="Y241" s="74" t="b">
        <v>0</v>
      </c>
      <c r="Z241" s="148" t="str">
        <f>IFERROR(__xludf.DUMMYFUNCTION("""COMPUTED_VALUE"""),"")</f>
        <v/>
      </c>
      <c r="AA241" s="148" t="str">
        <f>IFERROR(__xludf.DUMMYFUNCTION("""COMPUTED_VALUE"""),"")</f>
        <v/>
      </c>
      <c r="AB241" s="148" t="str">
        <f>IFERROR(__xludf.DUMMYFUNCTION("""COMPUTED_VALUE"""),"")</f>
        <v/>
      </c>
      <c r="AC241" s="153"/>
      <c r="AD241" s="148"/>
      <c r="AE241" s="148"/>
      <c r="AF241" s="148" t="s">
        <v>613</v>
      </c>
      <c r="AG241" s="148"/>
      <c r="AH241" s="148"/>
      <c r="AI241" s="148" t="s">
        <v>614</v>
      </c>
      <c r="AJ241" s="148" t="s">
        <v>614</v>
      </c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</row>
    <row r="242" ht="14.25" customHeight="1">
      <c r="A242" s="134"/>
      <c r="B242" s="135"/>
      <c r="C242" s="77"/>
      <c r="D242" s="136"/>
      <c r="E242" s="60"/>
      <c r="F242" s="60"/>
      <c r="G242" s="62"/>
      <c r="H242" s="63"/>
      <c r="I242" s="138"/>
      <c r="J242" s="79"/>
      <c r="K242" s="80"/>
      <c r="L242" s="66"/>
      <c r="M242" s="81"/>
      <c r="N242" s="167"/>
      <c r="O242" s="69">
        <f t="shared" si="17"/>
        <v>0</v>
      </c>
      <c r="P242" s="151"/>
      <c r="Q242" s="143"/>
      <c r="R242" s="74"/>
      <c r="S242" s="158"/>
      <c r="T242" s="146">
        <f t="shared" si="14"/>
        <v>0</v>
      </c>
      <c r="U242" s="146"/>
      <c r="V242" s="147"/>
      <c r="W242" s="74" t="b">
        <v>0</v>
      </c>
      <c r="X242" s="74" t="b">
        <v>0</v>
      </c>
      <c r="Y242" s="74" t="b">
        <v>0</v>
      </c>
      <c r="Z242" s="148" t="str">
        <f>IFERROR(__xludf.DUMMYFUNCTION("""COMPUTED_VALUE"""),"")</f>
        <v/>
      </c>
      <c r="AA242" s="148" t="str">
        <f>IFERROR(__xludf.DUMMYFUNCTION("""COMPUTED_VALUE"""),"")</f>
        <v/>
      </c>
      <c r="AB242" s="148" t="str">
        <f>IFERROR(__xludf.DUMMYFUNCTION("""COMPUTED_VALUE"""),"")</f>
        <v/>
      </c>
      <c r="AC242" s="153"/>
      <c r="AD242" s="148"/>
      <c r="AE242" s="148"/>
      <c r="AF242" s="148" t="s">
        <v>613</v>
      </c>
      <c r="AG242" s="148"/>
      <c r="AH242" s="148"/>
      <c r="AI242" s="148" t="s">
        <v>614</v>
      </c>
      <c r="AJ242" s="148" t="s">
        <v>614</v>
      </c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</row>
    <row r="243" ht="14.25" customHeight="1">
      <c r="A243" s="134"/>
      <c r="B243" s="135"/>
      <c r="C243" s="77"/>
      <c r="D243" s="136"/>
      <c r="E243" s="60"/>
      <c r="F243" s="60"/>
      <c r="G243" s="62"/>
      <c r="H243" s="63"/>
      <c r="I243" s="138"/>
      <c r="J243" s="79"/>
      <c r="K243" s="80"/>
      <c r="L243" s="66"/>
      <c r="M243" s="81"/>
      <c r="N243" s="167"/>
      <c r="O243" s="69">
        <f t="shared" si="17"/>
        <v>0</v>
      </c>
      <c r="P243" s="151"/>
      <c r="Q243" s="143"/>
      <c r="R243" s="74"/>
      <c r="S243" s="158"/>
      <c r="T243" s="146">
        <f t="shared" si="14"/>
        <v>0</v>
      </c>
      <c r="U243" s="146"/>
      <c r="V243" s="147"/>
      <c r="W243" s="74" t="b">
        <v>0</v>
      </c>
      <c r="X243" s="74" t="b">
        <v>0</v>
      </c>
      <c r="Y243" s="74" t="b">
        <v>0</v>
      </c>
      <c r="Z243" s="148" t="str">
        <f>IFERROR(__xludf.DUMMYFUNCTION("""COMPUTED_VALUE"""),"")</f>
        <v/>
      </c>
      <c r="AA243" s="148" t="str">
        <f>IFERROR(__xludf.DUMMYFUNCTION("""COMPUTED_VALUE"""),"")</f>
        <v/>
      </c>
      <c r="AB243" s="148" t="str">
        <f>IFERROR(__xludf.DUMMYFUNCTION("""COMPUTED_VALUE"""),"")</f>
        <v/>
      </c>
      <c r="AC243" s="153"/>
      <c r="AD243" s="148"/>
      <c r="AE243" s="148"/>
      <c r="AF243" s="148" t="s">
        <v>613</v>
      </c>
      <c r="AG243" s="148"/>
      <c r="AH243" s="148"/>
      <c r="AI243" s="148" t="s">
        <v>614</v>
      </c>
      <c r="AJ243" s="148" t="s">
        <v>614</v>
      </c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</row>
    <row r="244" ht="14.25" customHeight="1">
      <c r="A244" s="134"/>
      <c r="B244" s="135"/>
      <c r="C244" s="77"/>
      <c r="D244" s="136"/>
      <c r="E244" s="60"/>
      <c r="F244" s="60"/>
      <c r="G244" s="62"/>
      <c r="H244" s="63"/>
      <c r="I244" s="138"/>
      <c r="J244" s="79"/>
      <c r="K244" s="80"/>
      <c r="L244" s="66"/>
      <c r="M244" s="81"/>
      <c r="N244" s="167"/>
      <c r="O244" s="69">
        <f t="shared" si="17"/>
        <v>0</v>
      </c>
      <c r="P244" s="151"/>
      <c r="Q244" s="143"/>
      <c r="R244" s="74"/>
      <c r="S244" s="158"/>
      <c r="T244" s="146">
        <f t="shared" si="14"/>
        <v>0</v>
      </c>
      <c r="U244" s="146"/>
      <c r="V244" s="147"/>
      <c r="W244" s="74" t="b">
        <v>0</v>
      </c>
      <c r="X244" s="74" t="b">
        <v>0</v>
      </c>
      <c r="Y244" s="74" t="b">
        <v>0</v>
      </c>
      <c r="Z244" s="148" t="str">
        <f>IFERROR(__xludf.DUMMYFUNCTION("""COMPUTED_VALUE"""),"")</f>
        <v/>
      </c>
      <c r="AA244" s="148" t="str">
        <f>IFERROR(__xludf.DUMMYFUNCTION("""COMPUTED_VALUE"""),"")</f>
        <v/>
      </c>
      <c r="AB244" s="148" t="str">
        <f>IFERROR(__xludf.DUMMYFUNCTION("""COMPUTED_VALUE"""),"")</f>
        <v/>
      </c>
      <c r="AC244" s="153"/>
      <c r="AD244" s="148"/>
      <c r="AE244" s="148"/>
      <c r="AF244" s="148" t="s">
        <v>613</v>
      </c>
      <c r="AG244" s="148"/>
      <c r="AH244" s="148"/>
      <c r="AI244" s="148" t="s">
        <v>614</v>
      </c>
      <c r="AJ244" s="148" t="s">
        <v>614</v>
      </c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</row>
    <row r="245" ht="14.25" customHeight="1">
      <c r="A245" s="134"/>
      <c r="B245" s="135"/>
      <c r="C245" s="77"/>
      <c r="D245" s="136"/>
      <c r="E245" s="60"/>
      <c r="F245" s="60"/>
      <c r="G245" s="62"/>
      <c r="H245" s="63"/>
      <c r="I245" s="138"/>
      <c r="J245" s="79"/>
      <c r="K245" s="80"/>
      <c r="L245" s="66"/>
      <c r="M245" s="81"/>
      <c r="N245" s="167"/>
      <c r="O245" s="69">
        <f t="shared" si="17"/>
        <v>0</v>
      </c>
      <c r="P245" s="151"/>
      <c r="Q245" s="143"/>
      <c r="R245" s="74"/>
      <c r="S245" s="158"/>
      <c r="T245" s="146">
        <f t="shared" si="14"/>
        <v>0</v>
      </c>
      <c r="U245" s="146"/>
      <c r="V245" s="147"/>
      <c r="W245" s="74" t="b">
        <v>0</v>
      </c>
      <c r="X245" s="74" t="b">
        <v>0</v>
      </c>
      <c r="Y245" s="74" t="b">
        <v>0</v>
      </c>
      <c r="Z245" s="148" t="str">
        <f>IFERROR(__xludf.DUMMYFUNCTION("""COMPUTED_VALUE"""),"")</f>
        <v/>
      </c>
      <c r="AA245" s="148" t="str">
        <f>IFERROR(__xludf.DUMMYFUNCTION("""COMPUTED_VALUE"""),"")</f>
        <v/>
      </c>
      <c r="AB245" s="148" t="str">
        <f>IFERROR(__xludf.DUMMYFUNCTION("""COMPUTED_VALUE"""),"")</f>
        <v/>
      </c>
      <c r="AC245" s="153"/>
      <c r="AD245" s="148"/>
      <c r="AE245" s="148"/>
      <c r="AF245" s="148" t="s">
        <v>613</v>
      </c>
      <c r="AG245" s="148"/>
      <c r="AH245" s="148"/>
      <c r="AI245" s="148" t="s">
        <v>614</v>
      </c>
      <c r="AJ245" s="148" t="s">
        <v>614</v>
      </c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</row>
    <row r="246" ht="14.25" customHeight="1">
      <c r="A246" s="134"/>
      <c r="B246" s="135"/>
      <c r="C246" s="77"/>
      <c r="D246" s="136"/>
      <c r="E246" s="60"/>
      <c r="F246" s="60"/>
      <c r="G246" s="62"/>
      <c r="H246" s="63"/>
      <c r="I246" s="138"/>
      <c r="J246" s="79"/>
      <c r="K246" s="80"/>
      <c r="L246" s="66"/>
      <c r="M246" s="81"/>
      <c r="N246" s="167"/>
      <c r="O246" s="69">
        <f t="shared" si="17"/>
        <v>0</v>
      </c>
      <c r="P246" s="151"/>
      <c r="Q246" s="143"/>
      <c r="R246" s="74"/>
      <c r="S246" s="158"/>
      <c r="T246" s="146">
        <f t="shared" si="14"/>
        <v>0</v>
      </c>
      <c r="U246" s="146"/>
      <c r="V246" s="147"/>
      <c r="W246" s="74" t="b">
        <v>0</v>
      </c>
      <c r="X246" s="74" t="b">
        <v>0</v>
      </c>
      <c r="Y246" s="74" t="b">
        <v>0</v>
      </c>
      <c r="Z246" s="148" t="str">
        <f>IFERROR(__xludf.DUMMYFUNCTION("""COMPUTED_VALUE"""),"")</f>
        <v/>
      </c>
      <c r="AA246" s="148" t="str">
        <f>IFERROR(__xludf.DUMMYFUNCTION("""COMPUTED_VALUE"""),"")</f>
        <v/>
      </c>
      <c r="AB246" s="148" t="str">
        <f>IFERROR(__xludf.DUMMYFUNCTION("""COMPUTED_VALUE"""),"")</f>
        <v/>
      </c>
      <c r="AC246" s="153"/>
      <c r="AD246" s="148"/>
      <c r="AE246" s="148"/>
      <c r="AF246" s="148" t="s">
        <v>613</v>
      </c>
      <c r="AG246" s="148"/>
      <c r="AH246" s="148"/>
      <c r="AI246" s="148" t="s">
        <v>614</v>
      </c>
      <c r="AJ246" s="148" t="s">
        <v>614</v>
      </c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</row>
    <row r="247" ht="14.25" customHeight="1">
      <c r="A247" s="134"/>
      <c r="B247" s="135"/>
      <c r="C247" s="58"/>
      <c r="D247" s="136"/>
      <c r="E247" s="60"/>
      <c r="F247" s="60"/>
      <c r="G247" s="62"/>
      <c r="H247" s="63"/>
      <c r="I247" s="138"/>
      <c r="J247" s="63"/>
      <c r="K247" s="65"/>
      <c r="L247" s="66"/>
      <c r="M247" s="81"/>
      <c r="N247" s="167"/>
      <c r="O247" s="69">
        <f t="shared" si="17"/>
        <v>0</v>
      </c>
      <c r="P247" s="151"/>
      <c r="Q247" s="143"/>
      <c r="R247" s="74"/>
      <c r="S247" s="158"/>
      <c r="T247" s="146">
        <f t="shared" si="14"/>
        <v>0</v>
      </c>
      <c r="U247" s="146"/>
      <c r="V247" s="147"/>
      <c r="W247" s="74" t="b">
        <v>0</v>
      </c>
      <c r="X247" s="74" t="b">
        <v>0</v>
      </c>
      <c r="Y247" s="74" t="b">
        <v>0</v>
      </c>
      <c r="Z247" s="148" t="str">
        <f>IFERROR(__xludf.DUMMYFUNCTION("""COMPUTED_VALUE"""),"")</f>
        <v/>
      </c>
      <c r="AA247" s="148" t="str">
        <f>IFERROR(__xludf.DUMMYFUNCTION("""COMPUTED_VALUE"""),"")</f>
        <v/>
      </c>
      <c r="AB247" s="148" t="str">
        <f>IFERROR(__xludf.DUMMYFUNCTION("""COMPUTED_VALUE"""),"")</f>
        <v/>
      </c>
      <c r="AC247" s="149"/>
      <c r="AD247" s="148"/>
      <c r="AE247" s="148"/>
      <c r="AF247" s="148" t="s">
        <v>613</v>
      </c>
      <c r="AG247" s="148"/>
      <c r="AH247" s="148"/>
      <c r="AI247" s="148" t="s">
        <v>614</v>
      </c>
      <c r="AJ247" s="148" t="s">
        <v>614</v>
      </c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</row>
    <row r="248" ht="14.25" customHeight="1">
      <c r="A248" s="134"/>
      <c r="B248" s="135"/>
      <c r="C248" s="58"/>
      <c r="D248" s="136"/>
      <c r="E248" s="60"/>
      <c r="F248" s="60"/>
      <c r="G248" s="62"/>
      <c r="H248" s="63"/>
      <c r="I248" s="138"/>
      <c r="J248" s="63"/>
      <c r="K248" s="65"/>
      <c r="L248" s="66"/>
      <c r="M248" s="81"/>
      <c r="N248" s="167"/>
      <c r="O248" s="69">
        <f t="shared" si="17"/>
        <v>0</v>
      </c>
      <c r="P248" s="151"/>
      <c r="Q248" s="143"/>
      <c r="R248" s="74"/>
      <c r="S248" s="158"/>
      <c r="T248" s="146">
        <f t="shared" si="14"/>
        <v>0</v>
      </c>
      <c r="U248" s="146"/>
      <c r="V248" s="147"/>
      <c r="W248" s="74" t="b">
        <v>0</v>
      </c>
      <c r="X248" s="74" t="b">
        <v>0</v>
      </c>
      <c r="Y248" s="74" t="b">
        <v>0</v>
      </c>
      <c r="Z248" s="148" t="str">
        <f>IFERROR(__xludf.DUMMYFUNCTION("""COMPUTED_VALUE"""),"")</f>
        <v/>
      </c>
      <c r="AA248" s="148" t="str">
        <f>IFERROR(__xludf.DUMMYFUNCTION("""COMPUTED_VALUE"""),"")</f>
        <v/>
      </c>
      <c r="AB248" s="148" t="str">
        <f>IFERROR(__xludf.DUMMYFUNCTION("""COMPUTED_VALUE"""),"")</f>
        <v/>
      </c>
      <c r="AC248" s="149"/>
      <c r="AD248" s="148"/>
      <c r="AE248" s="148"/>
      <c r="AF248" s="148" t="s">
        <v>613</v>
      </c>
      <c r="AG248" s="148"/>
      <c r="AH248" s="148"/>
      <c r="AI248" s="148" t="s">
        <v>614</v>
      </c>
      <c r="AJ248" s="148" t="s">
        <v>614</v>
      </c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</row>
    <row r="249" ht="14.25" customHeight="1">
      <c r="A249" s="134"/>
      <c r="B249" s="135"/>
      <c r="C249" s="58"/>
      <c r="D249" s="136"/>
      <c r="E249" s="60"/>
      <c r="F249" s="60"/>
      <c r="G249" s="62"/>
      <c r="H249" s="63"/>
      <c r="I249" s="138"/>
      <c r="J249" s="63"/>
      <c r="K249" s="65"/>
      <c r="L249" s="66"/>
      <c r="M249" s="81"/>
      <c r="N249" s="167"/>
      <c r="O249" s="69">
        <f t="shared" si="17"/>
        <v>0</v>
      </c>
      <c r="P249" s="142"/>
      <c r="Q249" s="143"/>
      <c r="R249" s="74"/>
      <c r="S249" s="158"/>
      <c r="T249" s="146">
        <f t="shared" si="14"/>
        <v>0</v>
      </c>
      <c r="U249" s="146"/>
      <c r="V249" s="147"/>
      <c r="W249" s="74" t="b">
        <v>0</v>
      </c>
      <c r="X249" s="74" t="b">
        <v>0</v>
      </c>
      <c r="Y249" s="74" t="b">
        <v>0</v>
      </c>
      <c r="Z249" s="148" t="str">
        <f>IFERROR(__xludf.DUMMYFUNCTION("""COMPUTED_VALUE"""),"")</f>
        <v/>
      </c>
      <c r="AA249" s="148" t="str">
        <f>IFERROR(__xludf.DUMMYFUNCTION("""COMPUTED_VALUE"""),"")</f>
        <v/>
      </c>
      <c r="AB249" s="148" t="str">
        <f>IFERROR(__xludf.DUMMYFUNCTION("""COMPUTED_VALUE"""),"")</f>
        <v/>
      </c>
      <c r="AC249" s="149"/>
      <c r="AD249" s="148"/>
      <c r="AE249" s="148"/>
      <c r="AF249" s="148" t="s">
        <v>613</v>
      </c>
      <c r="AG249" s="148"/>
      <c r="AH249" s="148"/>
      <c r="AI249" s="148" t="s">
        <v>614</v>
      </c>
      <c r="AJ249" s="148" t="s">
        <v>614</v>
      </c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</row>
    <row r="250" ht="14.25" customHeight="1">
      <c r="A250" s="134"/>
      <c r="B250" s="135"/>
      <c r="C250" s="58"/>
      <c r="D250" s="136"/>
      <c r="E250" s="60"/>
      <c r="F250" s="60"/>
      <c r="G250" s="62"/>
      <c r="H250" s="63"/>
      <c r="I250" s="138"/>
      <c r="J250" s="63"/>
      <c r="K250" s="65"/>
      <c r="L250" s="66"/>
      <c r="M250" s="81"/>
      <c r="N250" s="167"/>
      <c r="O250" s="69">
        <f t="shared" si="17"/>
        <v>0</v>
      </c>
      <c r="P250" s="142"/>
      <c r="Q250" s="143"/>
      <c r="R250" s="74"/>
      <c r="S250" s="158"/>
      <c r="T250" s="146">
        <f t="shared" si="14"/>
        <v>0</v>
      </c>
      <c r="U250" s="146"/>
      <c r="V250" s="147"/>
      <c r="W250" s="74" t="b">
        <v>0</v>
      </c>
      <c r="X250" s="74" t="b">
        <v>0</v>
      </c>
      <c r="Y250" s="74" t="b">
        <v>0</v>
      </c>
      <c r="Z250" s="148" t="str">
        <f>IFERROR(__xludf.DUMMYFUNCTION("""COMPUTED_VALUE"""),"")</f>
        <v/>
      </c>
      <c r="AA250" s="148" t="str">
        <f>IFERROR(__xludf.DUMMYFUNCTION("""COMPUTED_VALUE"""),"")</f>
        <v/>
      </c>
      <c r="AB250" s="148" t="str">
        <f>IFERROR(__xludf.DUMMYFUNCTION("""COMPUTED_VALUE"""),"")</f>
        <v/>
      </c>
      <c r="AC250" s="149"/>
      <c r="AD250" s="148"/>
      <c r="AE250" s="148"/>
      <c r="AF250" s="148" t="s">
        <v>613</v>
      </c>
      <c r="AG250" s="148"/>
      <c r="AH250" s="148"/>
      <c r="AI250" s="148" t="s">
        <v>614</v>
      </c>
      <c r="AJ250" s="148" t="s">
        <v>614</v>
      </c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</row>
    <row r="251" ht="14.25" customHeight="1">
      <c r="A251" s="134"/>
      <c r="B251" s="135"/>
      <c r="C251" s="58"/>
      <c r="D251" s="136"/>
      <c r="E251" s="60"/>
      <c r="F251" s="60"/>
      <c r="G251" s="62"/>
      <c r="H251" s="63"/>
      <c r="I251" s="138"/>
      <c r="J251" s="63"/>
      <c r="K251" s="65"/>
      <c r="L251" s="66"/>
      <c r="M251" s="81"/>
      <c r="N251" s="167"/>
      <c r="O251" s="69">
        <f t="shared" si="17"/>
        <v>0</v>
      </c>
      <c r="P251" s="142"/>
      <c r="Q251" s="143"/>
      <c r="R251" s="74"/>
      <c r="S251" s="158"/>
      <c r="T251" s="146">
        <f t="shared" si="14"/>
        <v>0</v>
      </c>
      <c r="U251" s="146"/>
      <c r="V251" s="147"/>
      <c r="W251" s="74" t="b">
        <v>0</v>
      </c>
      <c r="X251" s="74" t="b">
        <v>0</v>
      </c>
      <c r="Y251" s="74" t="b">
        <v>0</v>
      </c>
      <c r="Z251" s="148" t="str">
        <f>IFERROR(__xludf.DUMMYFUNCTION("""COMPUTED_VALUE"""),"")</f>
        <v/>
      </c>
      <c r="AA251" s="148" t="str">
        <f>IFERROR(__xludf.DUMMYFUNCTION("""COMPUTED_VALUE"""),"")</f>
        <v/>
      </c>
      <c r="AB251" s="148" t="str">
        <f>IFERROR(__xludf.DUMMYFUNCTION("""COMPUTED_VALUE"""),"")</f>
        <v/>
      </c>
      <c r="AC251" s="149"/>
      <c r="AD251" s="148"/>
      <c r="AE251" s="148"/>
      <c r="AF251" s="148" t="s">
        <v>613</v>
      </c>
      <c r="AG251" s="148"/>
      <c r="AH251" s="148"/>
      <c r="AI251" s="148" t="s">
        <v>614</v>
      </c>
      <c r="AJ251" s="148" t="s">
        <v>614</v>
      </c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</row>
    <row r="252" ht="14.25" customHeight="1">
      <c r="A252" s="134"/>
      <c r="B252" s="135"/>
      <c r="C252" s="58"/>
      <c r="D252" s="136"/>
      <c r="E252" s="60"/>
      <c r="F252" s="60"/>
      <c r="G252" s="62"/>
      <c r="H252" s="63"/>
      <c r="I252" s="138"/>
      <c r="J252" s="63"/>
      <c r="K252" s="65"/>
      <c r="L252" s="66"/>
      <c r="M252" s="81"/>
      <c r="N252" s="167"/>
      <c r="O252" s="69">
        <f t="shared" si="17"/>
        <v>0</v>
      </c>
      <c r="P252" s="142"/>
      <c r="Q252" s="143"/>
      <c r="R252" s="74"/>
      <c r="S252" s="158"/>
      <c r="T252" s="146">
        <f t="shared" si="14"/>
        <v>0</v>
      </c>
      <c r="U252" s="146"/>
      <c r="V252" s="147"/>
      <c r="W252" s="74" t="b">
        <v>0</v>
      </c>
      <c r="X252" s="74" t="b">
        <v>0</v>
      </c>
      <c r="Y252" s="74" t="b">
        <v>0</v>
      </c>
      <c r="Z252" s="148" t="str">
        <f>IFERROR(__xludf.DUMMYFUNCTION("""COMPUTED_VALUE"""),"")</f>
        <v/>
      </c>
      <c r="AA252" s="148" t="str">
        <f>IFERROR(__xludf.DUMMYFUNCTION("""COMPUTED_VALUE"""),"")</f>
        <v/>
      </c>
      <c r="AB252" s="148" t="str">
        <f>IFERROR(__xludf.DUMMYFUNCTION("""COMPUTED_VALUE"""),"")</f>
        <v/>
      </c>
      <c r="AC252" s="149"/>
      <c r="AD252" s="148"/>
      <c r="AE252" s="148"/>
      <c r="AF252" s="148" t="s">
        <v>613</v>
      </c>
      <c r="AG252" s="148"/>
      <c r="AH252" s="148"/>
      <c r="AI252" s="148" t="s">
        <v>614</v>
      </c>
      <c r="AJ252" s="148" t="s">
        <v>614</v>
      </c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</row>
    <row r="253" ht="14.25" customHeight="1">
      <c r="A253" s="134"/>
      <c r="B253" s="135"/>
      <c r="C253" s="58"/>
      <c r="D253" s="136"/>
      <c r="E253" s="60"/>
      <c r="F253" s="60"/>
      <c r="G253" s="62"/>
      <c r="H253" s="63"/>
      <c r="I253" s="138"/>
      <c r="J253" s="63"/>
      <c r="K253" s="65"/>
      <c r="L253" s="66"/>
      <c r="M253" s="81"/>
      <c r="N253" s="167"/>
      <c r="O253" s="69">
        <f t="shared" si="17"/>
        <v>0</v>
      </c>
      <c r="P253" s="142"/>
      <c r="Q253" s="143"/>
      <c r="R253" s="74"/>
      <c r="S253" s="158"/>
      <c r="T253" s="146">
        <f t="shared" si="14"/>
        <v>0</v>
      </c>
      <c r="U253" s="146"/>
      <c r="V253" s="147"/>
      <c r="W253" s="74" t="b">
        <v>0</v>
      </c>
      <c r="X253" s="74" t="b">
        <v>0</v>
      </c>
      <c r="Y253" s="74" t="b">
        <v>0</v>
      </c>
      <c r="Z253" s="148" t="str">
        <f>IFERROR(__xludf.DUMMYFUNCTION("""COMPUTED_VALUE"""),"")</f>
        <v/>
      </c>
      <c r="AA253" s="148" t="str">
        <f>IFERROR(__xludf.DUMMYFUNCTION("""COMPUTED_VALUE"""),"")</f>
        <v/>
      </c>
      <c r="AB253" s="148" t="str">
        <f>IFERROR(__xludf.DUMMYFUNCTION("""COMPUTED_VALUE"""),"")</f>
        <v/>
      </c>
      <c r="AC253" s="149"/>
      <c r="AD253" s="148"/>
      <c r="AE253" s="148"/>
      <c r="AF253" s="148" t="s">
        <v>613</v>
      </c>
      <c r="AG253" s="148"/>
      <c r="AH253" s="148"/>
      <c r="AI253" s="148" t="s">
        <v>614</v>
      </c>
      <c r="AJ253" s="148" t="s">
        <v>614</v>
      </c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</row>
    <row r="254" ht="14.25" customHeight="1">
      <c r="A254" s="134"/>
      <c r="B254" s="135"/>
      <c r="C254" s="58"/>
      <c r="D254" s="136"/>
      <c r="E254" s="60"/>
      <c r="F254" s="60"/>
      <c r="G254" s="62"/>
      <c r="H254" s="154"/>
      <c r="I254" s="138"/>
      <c r="J254" s="63"/>
      <c r="K254" s="65"/>
      <c r="L254" s="66"/>
      <c r="M254" s="81"/>
      <c r="N254" s="167"/>
      <c r="O254" s="69">
        <f t="shared" si="17"/>
        <v>0</v>
      </c>
      <c r="P254" s="142"/>
      <c r="Q254" s="143"/>
      <c r="R254" s="74"/>
      <c r="S254" s="158"/>
      <c r="T254" s="146">
        <f t="shared" si="14"/>
        <v>0</v>
      </c>
      <c r="U254" s="146"/>
      <c r="V254" s="147"/>
      <c r="W254" s="74" t="b">
        <v>0</v>
      </c>
      <c r="X254" s="74" t="b">
        <v>0</v>
      </c>
      <c r="Y254" s="74" t="b">
        <v>0</v>
      </c>
      <c r="Z254" s="148" t="str">
        <f>IFERROR(__xludf.DUMMYFUNCTION("""COMPUTED_VALUE"""),"")</f>
        <v/>
      </c>
      <c r="AA254" s="148" t="str">
        <f>IFERROR(__xludf.DUMMYFUNCTION("""COMPUTED_VALUE"""),"")</f>
        <v/>
      </c>
      <c r="AB254" s="148" t="str">
        <f>IFERROR(__xludf.DUMMYFUNCTION("""COMPUTED_VALUE"""),"")</f>
        <v/>
      </c>
      <c r="AC254" s="149"/>
      <c r="AD254" s="148"/>
      <c r="AE254" s="148"/>
      <c r="AF254" s="148" t="s">
        <v>613</v>
      </c>
      <c r="AG254" s="148"/>
      <c r="AH254" s="148"/>
      <c r="AI254" s="148" t="s">
        <v>614</v>
      </c>
      <c r="AJ254" s="148" t="s">
        <v>614</v>
      </c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</row>
    <row r="255" ht="14.25" customHeight="1">
      <c r="A255" s="134"/>
      <c r="B255" s="135"/>
      <c r="C255" s="58"/>
      <c r="D255" s="136"/>
      <c r="E255" s="60"/>
      <c r="F255" s="60"/>
      <c r="G255" s="62"/>
      <c r="H255" s="63"/>
      <c r="I255" s="138"/>
      <c r="J255" s="63"/>
      <c r="K255" s="65"/>
      <c r="L255" s="66"/>
      <c r="M255" s="169"/>
      <c r="N255" s="170"/>
      <c r="O255" s="69">
        <f t="shared" si="17"/>
        <v>0</v>
      </c>
      <c r="P255" s="142"/>
      <c r="Q255" s="143"/>
      <c r="R255" s="74"/>
      <c r="S255" s="158"/>
      <c r="T255" s="146">
        <f t="shared" si="14"/>
        <v>0</v>
      </c>
      <c r="U255" s="146"/>
      <c r="V255" s="147"/>
      <c r="W255" s="74" t="b">
        <v>0</v>
      </c>
      <c r="X255" s="74" t="b">
        <v>0</v>
      </c>
      <c r="Y255" s="74" t="b">
        <v>0</v>
      </c>
      <c r="Z255" s="148" t="str">
        <f>IFERROR(__xludf.DUMMYFUNCTION("""COMPUTED_VALUE"""),"")</f>
        <v/>
      </c>
      <c r="AA255" s="148" t="str">
        <f>IFERROR(__xludf.DUMMYFUNCTION("""COMPUTED_VALUE"""),"")</f>
        <v/>
      </c>
      <c r="AB255" s="148" t="str">
        <f>IFERROR(__xludf.DUMMYFUNCTION("""COMPUTED_VALUE"""),"")</f>
        <v/>
      </c>
      <c r="AC255" s="149"/>
      <c r="AD255" s="148"/>
      <c r="AE255" s="148"/>
      <c r="AF255" s="148" t="s">
        <v>613</v>
      </c>
      <c r="AG255" s="148"/>
      <c r="AH255" s="148"/>
      <c r="AI255" s="148" t="s">
        <v>614</v>
      </c>
      <c r="AJ255" s="148" t="s">
        <v>614</v>
      </c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</row>
    <row r="256" ht="14.25" customHeight="1">
      <c r="A256" s="134"/>
      <c r="B256" s="135"/>
      <c r="C256" s="58"/>
      <c r="D256" s="136"/>
      <c r="E256" s="60"/>
      <c r="F256" s="60"/>
      <c r="G256" s="90"/>
      <c r="H256" s="63"/>
      <c r="I256" s="138"/>
      <c r="J256" s="63"/>
      <c r="K256" s="65"/>
      <c r="L256" s="66"/>
      <c r="M256" s="81"/>
      <c r="N256" s="167"/>
      <c r="O256" s="69">
        <f t="shared" si="17"/>
        <v>0</v>
      </c>
      <c r="P256" s="142"/>
      <c r="Q256" s="143"/>
      <c r="R256" s="74"/>
      <c r="S256" s="158"/>
      <c r="T256" s="146">
        <f t="shared" si="14"/>
        <v>0</v>
      </c>
      <c r="U256" s="146"/>
      <c r="V256" s="147"/>
      <c r="W256" s="74" t="b">
        <v>0</v>
      </c>
      <c r="X256" s="74" t="b">
        <v>0</v>
      </c>
      <c r="Y256" s="74" t="b">
        <v>0</v>
      </c>
      <c r="Z256" s="148" t="str">
        <f>IFERROR(__xludf.DUMMYFUNCTION("""COMPUTED_VALUE"""),"")</f>
        <v/>
      </c>
      <c r="AA256" s="148" t="str">
        <f>IFERROR(__xludf.DUMMYFUNCTION("""COMPUTED_VALUE"""),"")</f>
        <v/>
      </c>
      <c r="AB256" s="148" t="str">
        <f>IFERROR(__xludf.DUMMYFUNCTION("""COMPUTED_VALUE"""),"")</f>
        <v/>
      </c>
      <c r="AC256" s="149"/>
      <c r="AD256" s="148"/>
      <c r="AE256" s="148"/>
      <c r="AF256" s="148" t="s">
        <v>613</v>
      </c>
      <c r="AG256" s="148"/>
      <c r="AH256" s="148"/>
      <c r="AI256" s="148" t="s">
        <v>614</v>
      </c>
      <c r="AJ256" s="148" t="s">
        <v>614</v>
      </c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</row>
    <row r="257" ht="14.25" customHeight="1">
      <c r="A257" s="134"/>
      <c r="B257" s="135"/>
      <c r="C257" s="58"/>
      <c r="D257" s="136"/>
      <c r="E257" s="60"/>
      <c r="F257" s="60"/>
      <c r="G257" s="62"/>
      <c r="H257" s="63"/>
      <c r="I257" s="138"/>
      <c r="J257" s="63"/>
      <c r="K257" s="65"/>
      <c r="L257" s="66"/>
      <c r="M257" s="81"/>
      <c r="N257" s="167"/>
      <c r="O257" s="69">
        <f t="shared" si="17"/>
        <v>0</v>
      </c>
      <c r="P257" s="142"/>
      <c r="Q257" s="143"/>
      <c r="R257" s="74"/>
      <c r="S257" s="158"/>
      <c r="T257" s="146">
        <f t="shared" si="14"/>
        <v>0</v>
      </c>
      <c r="U257" s="146"/>
      <c r="V257" s="147"/>
      <c r="W257" s="74" t="b">
        <v>0</v>
      </c>
      <c r="X257" s="74" t="b">
        <v>0</v>
      </c>
      <c r="Y257" s="74" t="b">
        <v>0</v>
      </c>
      <c r="Z257" s="148" t="str">
        <f>IFERROR(__xludf.DUMMYFUNCTION("""COMPUTED_VALUE"""),"")</f>
        <v/>
      </c>
      <c r="AA257" s="148" t="str">
        <f>IFERROR(__xludf.DUMMYFUNCTION("""COMPUTED_VALUE"""),"")</f>
        <v/>
      </c>
      <c r="AB257" s="148" t="str">
        <f>IFERROR(__xludf.DUMMYFUNCTION("""COMPUTED_VALUE"""),"")</f>
        <v/>
      </c>
      <c r="AC257" s="149"/>
      <c r="AD257" s="148"/>
      <c r="AE257" s="148"/>
      <c r="AF257" s="148" t="s">
        <v>613</v>
      </c>
      <c r="AG257" s="148"/>
      <c r="AH257" s="148"/>
      <c r="AI257" s="148" t="s">
        <v>614</v>
      </c>
      <c r="AJ257" s="148" t="s">
        <v>614</v>
      </c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</row>
    <row r="258" ht="14.25" customHeight="1">
      <c r="A258" s="134"/>
      <c r="B258" s="135"/>
      <c r="C258" s="58"/>
      <c r="D258" s="136"/>
      <c r="E258" s="60"/>
      <c r="F258" s="60"/>
      <c r="G258" s="90"/>
      <c r="H258" s="154"/>
      <c r="I258" s="138"/>
      <c r="J258" s="63"/>
      <c r="K258" s="65"/>
      <c r="L258" s="66"/>
      <c r="M258" s="81"/>
      <c r="N258" s="167"/>
      <c r="O258" s="69">
        <f t="shared" si="17"/>
        <v>0</v>
      </c>
      <c r="P258" s="142"/>
      <c r="Q258" s="143"/>
      <c r="R258" s="74"/>
      <c r="S258" s="158"/>
      <c r="T258" s="146">
        <f t="shared" si="14"/>
        <v>0</v>
      </c>
      <c r="U258" s="146"/>
      <c r="V258" s="147"/>
      <c r="W258" s="74" t="b">
        <v>0</v>
      </c>
      <c r="X258" s="74" t="b">
        <v>0</v>
      </c>
      <c r="Y258" s="74" t="b">
        <v>0</v>
      </c>
      <c r="Z258" s="148" t="str">
        <f>IFERROR(__xludf.DUMMYFUNCTION("""COMPUTED_VALUE"""),"")</f>
        <v/>
      </c>
      <c r="AA258" s="148" t="str">
        <f>IFERROR(__xludf.DUMMYFUNCTION("""COMPUTED_VALUE"""),"")</f>
        <v/>
      </c>
      <c r="AB258" s="148" t="str">
        <f>IFERROR(__xludf.DUMMYFUNCTION("""COMPUTED_VALUE"""),"")</f>
        <v/>
      </c>
      <c r="AC258" s="149"/>
      <c r="AD258" s="148"/>
      <c r="AE258" s="148"/>
      <c r="AF258" s="148" t="s">
        <v>613</v>
      </c>
      <c r="AG258" s="148"/>
      <c r="AH258" s="148"/>
      <c r="AI258" s="148" t="s">
        <v>614</v>
      </c>
      <c r="AJ258" s="148" t="s">
        <v>614</v>
      </c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</row>
    <row r="259" ht="14.25" customHeight="1">
      <c r="A259" s="134"/>
      <c r="B259" s="135"/>
      <c r="C259" s="58"/>
      <c r="D259" s="136"/>
      <c r="E259" s="60"/>
      <c r="F259" s="60"/>
      <c r="G259" s="90"/>
      <c r="H259" s="154"/>
      <c r="I259" s="138"/>
      <c r="J259" s="63"/>
      <c r="K259" s="65"/>
      <c r="L259" s="66"/>
      <c r="M259" s="81"/>
      <c r="N259" s="167"/>
      <c r="O259" s="69">
        <f t="shared" si="17"/>
        <v>0</v>
      </c>
      <c r="P259" s="142"/>
      <c r="Q259" s="143"/>
      <c r="R259" s="74"/>
      <c r="S259" s="158"/>
      <c r="T259" s="146">
        <f t="shared" si="14"/>
        <v>0</v>
      </c>
      <c r="U259" s="146"/>
      <c r="V259" s="147"/>
      <c r="W259" s="74" t="b">
        <v>0</v>
      </c>
      <c r="X259" s="74" t="b">
        <v>0</v>
      </c>
      <c r="Y259" s="74" t="b">
        <v>0</v>
      </c>
      <c r="Z259" s="148" t="str">
        <f>IFERROR(__xludf.DUMMYFUNCTION("""COMPUTED_VALUE"""),"")</f>
        <v/>
      </c>
      <c r="AA259" s="148" t="str">
        <f>IFERROR(__xludf.DUMMYFUNCTION("""COMPUTED_VALUE"""),"")</f>
        <v/>
      </c>
      <c r="AB259" s="148" t="str">
        <f>IFERROR(__xludf.DUMMYFUNCTION("""COMPUTED_VALUE"""),"")</f>
        <v/>
      </c>
      <c r="AC259" s="149"/>
      <c r="AD259" s="148"/>
      <c r="AE259" s="148"/>
      <c r="AF259" s="148" t="s">
        <v>613</v>
      </c>
      <c r="AG259" s="148"/>
      <c r="AH259" s="148"/>
      <c r="AI259" s="148" t="s">
        <v>614</v>
      </c>
      <c r="AJ259" s="148" t="s">
        <v>614</v>
      </c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</row>
    <row r="260" ht="14.25" customHeight="1">
      <c r="A260" s="134"/>
      <c r="B260" s="135"/>
      <c r="C260" s="58"/>
      <c r="D260" s="136"/>
      <c r="E260" s="60"/>
      <c r="F260" s="60"/>
      <c r="G260" s="90"/>
      <c r="H260" s="63"/>
      <c r="I260" s="138"/>
      <c r="J260" s="63"/>
      <c r="K260" s="65"/>
      <c r="L260" s="66"/>
      <c r="M260" s="81"/>
      <c r="N260" s="167"/>
      <c r="O260" s="69">
        <f t="shared" si="17"/>
        <v>0</v>
      </c>
      <c r="P260" s="142"/>
      <c r="Q260" s="143"/>
      <c r="R260" s="74"/>
      <c r="S260" s="158"/>
      <c r="T260" s="146">
        <f t="shared" si="14"/>
        <v>0</v>
      </c>
      <c r="U260" s="146"/>
      <c r="V260" s="147"/>
      <c r="W260" s="74" t="b">
        <v>0</v>
      </c>
      <c r="X260" s="74" t="b">
        <v>0</v>
      </c>
      <c r="Y260" s="74" t="b">
        <v>0</v>
      </c>
      <c r="Z260" s="148" t="str">
        <f>IFERROR(__xludf.DUMMYFUNCTION("""COMPUTED_VALUE"""),"")</f>
        <v/>
      </c>
      <c r="AA260" s="148" t="str">
        <f>IFERROR(__xludf.DUMMYFUNCTION("""COMPUTED_VALUE"""),"")</f>
        <v/>
      </c>
      <c r="AB260" s="148" t="str">
        <f>IFERROR(__xludf.DUMMYFUNCTION("""COMPUTED_VALUE"""),"")</f>
        <v/>
      </c>
      <c r="AC260" s="149"/>
      <c r="AD260" s="148"/>
      <c r="AE260" s="148"/>
      <c r="AF260" s="148" t="s">
        <v>613</v>
      </c>
      <c r="AG260" s="148"/>
      <c r="AH260" s="148"/>
      <c r="AI260" s="148" t="s">
        <v>614</v>
      </c>
      <c r="AJ260" s="148" t="s">
        <v>614</v>
      </c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</row>
    <row r="261" ht="14.25" customHeight="1">
      <c r="A261" s="134"/>
      <c r="B261" s="135"/>
      <c r="C261" s="58"/>
      <c r="D261" s="136"/>
      <c r="E261" s="60"/>
      <c r="F261" s="60"/>
      <c r="G261" s="90"/>
      <c r="H261" s="63"/>
      <c r="I261" s="138"/>
      <c r="J261" s="63"/>
      <c r="K261" s="65"/>
      <c r="L261" s="66"/>
      <c r="M261" s="81"/>
      <c r="N261" s="167"/>
      <c r="O261" s="69">
        <f t="shared" si="17"/>
        <v>0</v>
      </c>
      <c r="P261" s="142"/>
      <c r="Q261" s="143"/>
      <c r="R261" s="74"/>
      <c r="S261" s="158"/>
      <c r="T261" s="146">
        <f t="shared" si="14"/>
        <v>0</v>
      </c>
      <c r="U261" s="146"/>
      <c r="V261" s="147"/>
      <c r="W261" s="74" t="b">
        <v>0</v>
      </c>
      <c r="X261" s="74" t="b">
        <v>0</v>
      </c>
      <c r="Y261" s="74" t="b">
        <v>0</v>
      </c>
      <c r="Z261" s="148" t="str">
        <f>IFERROR(__xludf.DUMMYFUNCTION("""COMPUTED_VALUE"""),"")</f>
        <v/>
      </c>
      <c r="AA261" s="148" t="str">
        <f>IFERROR(__xludf.DUMMYFUNCTION("""COMPUTED_VALUE"""),"")</f>
        <v/>
      </c>
      <c r="AB261" s="148" t="str">
        <f>IFERROR(__xludf.DUMMYFUNCTION("""COMPUTED_VALUE"""),"")</f>
        <v/>
      </c>
      <c r="AC261" s="149"/>
      <c r="AD261" s="148"/>
      <c r="AE261" s="148"/>
      <c r="AF261" s="148" t="s">
        <v>613</v>
      </c>
      <c r="AG261" s="148"/>
      <c r="AH261" s="148"/>
      <c r="AI261" s="148" t="s">
        <v>614</v>
      </c>
      <c r="AJ261" s="148" t="s">
        <v>614</v>
      </c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</row>
    <row r="262" ht="14.25" customHeight="1">
      <c r="A262" s="134"/>
      <c r="B262" s="135"/>
      <c r="C262" s="58"/>
      <c r="D262" s="136"/>
      <c r="E262" s="60"/>
      <c r="F262" s="60"/>
      <c r="G262" s="90"/>
      <c r="H262" s="63"/>
      <c r="I262" s="138"/>
      <c r="J262" s="63"/>
      <c r="K262" s="65"/>
      <c r="L262" s="66"/>
      <c r="M262" s="81"/>
      <c r="N262" s="167"/>
      <c r="O262" s="69">
        <f t="shared" si="17"/>
        <v>0</v>
      </c>
      <c r="P262" s="142"/>
      <c r="Q262" s="143"/>
      <c r="R262" s="74"/>
      <c r="S262" s="158"/>
      <c r="T262" s="146">
        <f t="shared" si="14"/>
        <v>0</v>
      </c>
      <c r="U262" s="146"/>
      <c r="V262" s="147"/>
      <c r="W262" s="74" t="b">
        <v>0</v>
      </c>
      <c r="X262" s="74" t="b">
        <v>0</v>
      </c>
      <c r="Y262" s="74" t="b">
        <v>0</v>
      </c>
      <c r="Z262" s="148" t="str">
        <f>IFERROR(__xludf.DUMMYFUNCTION("""COMPUTED_VALUE"""),"")</f>
        <v/>
      </c>
      <c r="AA262" s="148" t="str">
        <f>IFERROR(__xludf.DUMMYFUNCTION("""COMPUTED_VALUE"""),"")</f>
        <v/>
      </c>
      <c r="AB262" s="148" t="str">
        <f>IFERROR(__xludf.DUMMYFUNCTION("""COMPUTED_VALUE"""),"")</f>
        <v/>
      </c>
      <c r="AC262" s="149"/>
      <c r="AD262" s="148"/>
      <c r="AE262" s="148"/>
      <c r="AF262" s="148" t="s">
        <v>613</v>
      </c>
      <c r="AG262" s="148"/>
      <c r="AH262" s="148"/>
      <c r="AI262" s="148" t="s">
        <v>614</v>
      </c>
      <c r="AJ262" s="148" t="s">
        <v>614</v>
      </c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</row>
    <row r="263" ht="14.25" customHeight="1">
      <c r="A263" s="134"/>
      <c r="B263" s="135"/>
      <c r="C263" s="58"/>
      <c r="D263" s="136"/>
      <c r="E263" s="60"/>
      <c r="F263" s="60"/>
      <c r="G263" s="90"/>
      <c r="H263" s="63"/>
      <c r="I263" s="138"/>
      <c r="J263" s="63"/>
      <c r="K263" s="65"/>
      <c r="L263" s="66"/>
      <c r="M263" s="81"/>
      <c r="N263" s="167"/>
      <c r="O263" s="69">
        <f t="shared" si="17"/>
        <v>0</v>
      </c>
      <c r="P263" s="142"/>
      <c r="Q263" s="143"/>
      <c r="R263" s="74"/>
      <c r="S263" s="158"/>
      <c r="T263" s="146">
        <f t="shared" si="14"/>
        <v>0</v>
      </c>
      <c r="U263" s="146"/>
      <c r="V263" s="147"/>
      <c r="W263" s="74" t="b">
        <v>0</v>
      </c>
      <c r="X263" s="74" t="b">
        <v>0</v>
      </c>
      <c r="Y263" s="74" t="b">
        <v>0</v>
      </c>
      <c r="Z263" s="148" t="str">
        <f>IFERROR(__xludf.DUMMYFUNCTION("""COMPUTED_VALUE"""),"")</f>
        <v/>
      </c>
      <c r="AA263" s="148" t="str">
        <f>IFERROR(__xludf.DUMMYFUNCTION("""COMPUTED_VALUE"""),"")</f>
        <v/>
      </c>
      <c r="AB263" s="148" t="str">
        <f>IFERROR(__xludf.DUMMYFUNCTION("""COMPUTED_VALUE"""),"")</f>
        <v/>
      </c>
      <c r="AC263" s="149"/>
      <c r="AD263" s="148"/>
      <c r="AE263" s="148"/>
      <c r="AF263" s="148" t="s">
        <v>613</v>
      </c>
      <c r="AG263" s="148"/>
      <c r="AH263" s="148"/>
      <c r="AI263" s="148" t="s">
        <v>614</v>
      </c>
      <c r="AJ263" s="148" t="s">
        <v>614</v>
      </c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</row>
    <row r="264" ht="14.25" customHeight="1">
      <c r="A264" s="134"/>
      <c r="B264" s="135"/>
      <c r="C264" s="58"/>
      <c r="D264" s="136"/>
      <c r="E264" s="60"/>
      <c r="F264" s="60"/>
      <c r="G264" s="90"/>
      <c r="H264" s="63"/>
      <c r="I264" s="138"/>
      <c r="J264" s="63"/>
      <c r="K264" s="65"/>
      <c r="L264" s="66"/>
      <c r="M264" s="81"/>
      <c r="N264" s="167"/>
      <c r="O264" s="69">
        <f t="shared" si="17"/>
        <v>0</v>
      </c>
      <c r="P264" s="142"/>
      <c r="Q264" s="143"/>
      <c r="R264" s="74"/>
      <c r="S264" s="158"/>
      <c r="T264" s="146">
        <f t="shared" si="14"/>
        <v>0</v>
      </c>
      <c r="U264" s="146"/>
      <c r="V264" s="147"/>
      <c r="W264" s="74" t="b">
        <v>0</v>
      </c>
      <c r="X264" s="74" t="b">
        <v>0</v>
      </c>
      <c r="Y264" s="74" t="b">
        <v>0</v>
      </c>
      <c r="Z264" s="148" t="str">
        <f>IFERROR(__xludf.DUMMYFUNCTION("""COMPUTED_VALUE"""),"")</f>
        <v/>
      </c>
      <c r="AA264" s="148" t="str">
        <f>IFERROR(__xludf.DUMMYFUNCTION("""COMPUTED_VALUE"""),"")</f>
        <v/>
      </c>
      <c r="AB264" s="148" t="str">
        <f>IFERROR(__xludf.DUMMYFUNCTION("""COMPUTED_VALUE"""),"")</f>
        <v/>
      </c>
      <c r="AC264" s="149"/>
      <c r="AD264" s="148"/>
      <c r="AE264" s="148"/>
      <c r="AF264" s="148" t="s">
        <v>613</v>
      </c>
      <c r="AG264" s="148"/>
      <c r="AH264" s="148"/>
      <c r="AI264" s="148" t="s">
        <v>614</v>
      </c>
      <c r="AJ264" s="148" t="s">
        <v>614</v>
      </c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</row>
    <row r="265" ht="14.25" customHeight="1">
      <c r="A265" s="134"/>
      <c r="B265" s="135"/>
      <c r="C265" s="58"/>
      <c r="D265" s="136"/>
      <c r="E265" s="60"/>
      <c r="F265" s="60"/>
      <c r="G265" s="90"/>
      <c r="H265" s="63"/>
      <c r="I265" s="138"/>
      <c r="J265" s="63"/>
      <c r="K265" s="65"/>
      <c r="L265" s="66"/>
      <c r="M265" s="81"/>
      <c r="N265" s="167"/>
      <c r="O265" s="69">
        <f t="shared" si="17"/>
        <v>0</v>
      </c>
      <c r="P265" s="142"/>
      <c r="Q265" s="143"/>
      <c r="R265" s="74"/>
      <c r="S265" s="158"/>
      <c r="T265" s="146">
        <f t="shared" si="14"/>
        <v>0</v>
      </c>
      <c r="U265" s="146"/>
      <c r="V265" s="147"/>
      <c r="W265" s="74" t="b">
        <v>0</v>
      </c>
      <c r="X265" s="74" t="b">
        <v>0</v>
      </c>
      <c r="Y265" s="74" t="b">
        <v>0</v>
      </c>
      <c r="Z265" s="148" t="str">
        <f>IFERROR(__xludf.DUMMYFUNCTION("""COMPUTED_VALUE"""),"")</f>
        <v/>
      </c>
      <c r="AA265" s="148" t="str">
        <f>IFERROR(__xludf.DUMMYFUNCTION("""COMPUTED_VALUE"""),"")</f>
        <v/>
      </c>
      <c r="AB265" s="148" t="str">
        <f>IFERROR(__xludf.DUMMYFUNCTION("""COMPUTED_VALUE"""),"")</f>
        <v/>
      </c>
      <c r="AC265" s="149"/>
      <c r="AD265" s="148"/>
      <c r="AE265" s="148"/>
      <c r="AF265" s="148" t="s">
        <v>613</v>
      </c>
      <c r="AG265" s="148"/>
      <c r="AH265" s="148"/>
      <c r="AI265" s="148" t="s">
        <v>614</v>
      </c>
      <c r="AJ265" s="148" t="s">
        <v>614</v>
      </c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</row>
    <row r="266" ht="14.25" customHeight="1">
      <c r="A266" s="134"/>
      <c r="B266" s="135"/>
      <c r="C266" s="58"/>
      <c r="D266" s="136"/>
      <c r="E266" s="60"/>
      <c r="F266" s="60"/>
      <c r="G266" s="90"/>
      <c r="H266" s="63"/>
      <c r="I266" s="138"/>
      <c r="J266" s="63"/>
      <c r="K266" s="65"/>
      <c r="L266" s="66"/>
      <c r="M266" s="81"/>
      <c r="N266" s="167"/>
      <c r="O266" s="69">
        <f t="shared" si="17"/>
        <v>0</v>
      </c>
      <c r="P266" s="142"/>
      <c r="Q266" s="143"/>
      <c r="R266" s="74"/>
      <c r="S266" s="158"/>
      <c r="T266" s="146">
        <f t="shared" si="14"/>
        <v>0</v>
      </c>
      <c r="U266" s="146"/>
      <c r="V266" s="147"/>
      <c r="W266" s="74" t="b">
        <v>0</v>
      </c>
      <c r="X266" s="74" t="b">
        <v>0</v>
      </c>
      <c r="Y266" s="74" t="b">
        <v>0</v>
      </c>
      <c r="Z266" s="148" t="str">
        <f>IFERROR(__xludf.DUMMYFUNCTION("""COMPUTED_VALUE"""),"")</f>
        <v/>
      </c>
      <c r="AA266" s="148" t="str">
        <f>IFERROR(__xludf.DUMMYFUNCTION("""COMPUTED_VALUE"""),"")</f>
        <v/>
      </c>
      <c r="AB266" s="148" t="str">
        <f>IFERROR(__xludf.DUMMYFUNCTION("""COMPUTED_VALUE"""),"")</f>
        <v/>
      </c>
      <c r="AC266" s="149"/>
      <c r="AD266" s="148"/>
      <c r="AE266" s="148"/>
      <c r="AF266" s="148" t="s">
        <v>613</v>
      </c>
      <c r="AG266" s="148"/>
      <c r="AH266" s="148"/>
      <c r="AI266" s="148" t="s">
        <v>614</v>
      </c>
      <c r="AJ266" s="148" t="s">
        <v>614</v>
      </c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</row>
    <row r="267" ht="14.25" customHeight="1">
      <c r="A267" s="134"/>
      <c r="B267" s="135"/>
      <c r="C267" s="58"/>
      <c r="D267" s="136"/>
      <c r="E267" s="60"/>
      <c r="F267" s="60"/>
      <c r="G267" s="90"/>
      <c r="H267" s="63"/>
      <c r="I267" s="138"/>
      <c r="J267" s="63"/>
      <c r="K267" s="65"/>
      <c r="L267" s="66"/>
      <c r="M267" s="81"/>
      <c r="N267" s="167"/>
      <c r="O267" s="69">
        <f t="shared" si="17"/>
        <v>0</v>
      </c>
      <c r="P267" s="142"/>
      <c r="Q267" s="143"/>
      <c r="R267" s="74"/>
      <c r="S267" s="158"/>
      <c r="T267" s="146">
        <f t="shared" si="14"/>
        <v>0</v>
      </c>
      <c r="U267" s="146"/>
      <c r="V267" s="147"/>
      <c r="W267" s="74" t="b">
        <v>0</v>
      </c>
      <c r="X267" s="74" t="b">
        <v>0</v>
      </c>
      <c r="Y267" s="74" t="b">
        <v>0</v>
      </c>
      <c r="Z267" s="148" t="str">
        <f>IFERROR(__xludf.DUMMYFUNCTION("""COMPUTED_VALUE"""),"")</f>
        <v/>
      </c>
      <c r="AA267" s="148" t="str">
        <f>IFERROR(__xludf.DUMMYFUNCTION("""COMPUTED_VALUE"""),"")</f>
        <v/>
      </c>
      <c r="AB267" s="148" t="str">
        <f>IFERROR(__xludf.DUMMYFUNCTION("""COMPUTED_VALUE"""),"")</f>
        <v/>
      </c>
      <c r="AC267" s="149"/>
      <c r="AD267" s="148"/>
      <c r="AE267" s="148"/>
      <c r="AF267" s="148" t="s">
        <v>613</v>
      </c>
      <c r="AG267" s="148"/>
      <c r="AH267" s="148"/>
      <c r="AI267" s="148" t="s">
        <v>614</v>
      </c>
      <c r="AJ267" s="148" t="s">
        <v>614</v>
      </c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</row>
    <row r="268" ht="14.25" customHeight="1">
      <c r="A268" s="134"/>
      <c r="B268" s="135"/>
      <c r="C268" s="58"/>
      <c r="D268" s="136"/>
      <c r="E268" s="60"/>
      <c r="F268" s="60"/>
      <c r="G268" s="90"/>
      <c r="H268" s="63"/>
      <c r="I268" s="138"/>
      <c r="J268" s="63"/>
      <c r="K268" s="65"/>
      <c r="L268" s="66"/>
      <c r="M268" s="81"/>
      <c r="N268" s="167"/>
      <c r="O268" s="69">
        <f t="shared" si="17"/>
        <v>0</v>
      </c>
      <c r="P268" s="142"/>
      <c r="Q268" s="143"/>
      <c r="R268" s="74"/>
      <c r="S268" s="158"/>
      <c r="T268" s="146">
        <f t="shared" si="14"/>
        <v>0</v>
      </c>
      <c r="U268" s="146"/>
      <c r="V268" s="147"/>
      <c r="W268" s="74" t="b">
        <v>0</v>
      </c>
      <c r="X268" s="74" t="b">
        <v>0</v>
      </c>
      <c r="Y268" s="74" t="b">
        <v>0</v>
      </c>
      <c r="Z268" s="148" t="str">
        <f>IFERROR(__xludf.DUMMYFUNCTION("""COMPUTED_VALUE"""),"")</f>
        <v/>
      </c>
      <c r="AA268" s="148" t="str">
        <f>IFERROR(__xludf.DUMMYFUNCTION("""COMPUTED_VALUE"""),"")</f>
        <v/>
      </c>
      <c r="AB268" s="148" t="str">
        <f>IFERROR(__xludf.DUMMYFUNCTION("""COMPUTED_VALUE"""),"")</f>
        <v/>
      </c>
      <c r="AC268" s="149"/>
      <c r="AD268" s="148"/>
      <c r="AE268" s="148"/>
      <c r="AF268" s="148" t="s">
        <v>613</v>
      </c>
      <c r="AG268" s="148"/>
      <c r="AH268" s="148"/>
      <c r="AI268" s="148" t="s">
        <v>614</v>
      </c>
      <c r="AJ268" s="148" t="s">
        <v>614</v>
      </c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</row>
    <row r="269" ht="14.25" customHeight="1">
      <c r="A269" s="134"/>
      <c r="B269" s="135"/>
      <c r="C269" s="58"/>
      <c r="D269" s="136"/>
      <c r="E269" s="60"/>
      <c r="F269" s="60"/>
      <c r="G269" s="90"/>
      <c r="H269" s="63"/>
      <c r="I269" s="138"/>
      <c r="J269" s="63"/>
      <c r="K269" s="65"/>
      <c r="L269" s="66"/>
      <c r="M269" s="81"/>
      <c r="N269" s="167"/>
      <c r="O269" s="69">
        <f t="shared" si="17"/>
        <v>0</v>
      </c>
      <c r="P269" s="142"/>
      <c r="Q269" s="143"/>
      <c r="R269" s="74"/>
      <c r="S269" s="158"/>
      <c r="T269" s="146">
        <f t="shared" si="14"/>
        <v>0</v>
      </c>
      <c r="U269" s="146"/>
      <c r="V269" s="147"/>
      <c r="W269" s="74" t="b">
        <v>0</v>
      </c>
      <c r="X269" s="74" t="b">
        <v>0</v>
      </c>
      <c r="Y269" s="74" t="b">
        <v>0</v>
      </c>
      <c r="Z269" s="148" t="str">
        <f>IFERROR(__xludf.DUMMYFUNCTION("""COMPUTED_VALUE"""),"")</f>
        <v/>
      </c>
      <c r="AA269" s="148" t="str">
        <f>IFERROR(__xludf.DUMMYFUNCTION("""COMPUTED_VALUE"""),"")</f>
        <v/>
      </c>
      <c r="AB269" s="148" t="str">
        <f>IFERROR(__xludf.DUMMYFUNCTION("""COMPUTED_VALUE"""),"")</f>
        <v/>
      </c>
      <c r="AC269" s="149"/>
      <c r="AD269" s="148"/>
      <c r="AE269" s="148"/>
      <c r="AF269" s="148" t="s">
        <v>613</v>
      </c>
      <c r="AG269" s="148"/>
      <c r="AH269" s="148"/>
      <c r="AI269" s="148" t="s">
        <v>614</v>
      </c>
      <c r="AJ269" s="148" t="s">
        <v>614</v>
      </c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</row>
    <row r="270" ht="14.25" customHeight="1">
      <c r="A270" s="134"/>
      <c r="B270" s="135"/>
      <c r="C270" s="58"/>
      <c r="D270" s="136"/>
      <c r="E270" s="60"/>
      <c r="F270" s="60"/>
      <c r="G270" s="90"/>
      <c r="H270" s="63"/>
      <c r="I270" s="138"/>
      <c r="J270" s="63"/>
      <c r="K270" s="65"/>
      <c r="L270" s="66"/>
      <c r="M270" s="81"/>
      <c r="N270" s="167"/>
      <c r="O270" s="69">
        <f t="shared" si="17"/>
        <v>0</v>
      </c>
      <c r="P270" s="142"/>
      <c r="Q270" s="143"/>
      <c r="R270" s="74"/>
      <c r="S270" s="158"/>
      <c r="T270" s="146">
        <f t="shared" si="14"/>
        <v>0</v>
      </c>
      <c r="U270" s="146"/>
      <c r="V270" s="147"/>
      <c r="W270" s="74" t="b">
        <v>0</v>
      </c>
      <c r="X270" s="74" t="b">
        <v>0</v>
      </c>
      <c r="Y270" s="74" t="b">
        <v>0</v>
      </c>
      <c r="Z270" s="148" t="str">
        <f>IFERROR(__xludf.DUMMYFUNCTION("""COMPUTED_VALUE"""),"")</f>
        <v/>
      </c>
      <c r="AA270" s="148" t="str">
        <f>IFERROR(__xludf.DUMMYFUNCTION("""COMPUTED_VALUE"""),"")</f>
        <v/>
      </c>
      <c r="AB270" s="148" t="str">
        <f>IFERROR(__xludf.DUMMYFUNCTION("""COMPUTED_VALUE"""),"")</f>
        <v/>
      </c>
      <c r="AC270" s="149"/>
      <c r="AD270" s="148"/>
      <c r="AE270" s="148"/>
      <c r="AF270" s="148" t="s">
        <v>613</v>
      </c>
      <c r="AG270" s="148"/>
      <c r="AH270" s="148"/>
      <c r="AI270" s="148" t="s">
        <v>614</v>
      </c>
      <c r="AJ270" s="148" t="s">
        <v>614</v>
      </c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</row>
    <row r="271" ht="14.25" customHeight="1">
      <c r="A271" s="134"/>
      <c r="B271" s="135"/>
      <c r="C271" s="58"/>
      <c r="D271" s="136"/>
      <c r="E271" s="60"/>
      <c r="F271" s="60"/>
      <c r="G271" s="90"/>
      <c r="H271" s="63"/>
      <c r="I271" s="138"/>
      <c r="J271" s="63"/>
      <c r="K271" s="65"/>
      <c r="L271" s="66"/>
      <c r="M271" s="81"/>
      <c r="N271" s="167"/>
      <c r="O271" s="69">
        <f t="shared" si="17"/>
        <v>0</v>
      </c>
      <c r="P271" s="142"/>
      <c r="Q271" s="143"/>
      <c r="R271" s="74"/>
      <c r="S271" s="158"/>
      <c r="T271" s="146">
        <f t="shared" si="14"/>
        <v>0</v>
      </c>
      <c r="U271" s="146"/>
      <c r="V271" s="147"/>
      <c r="W271" s="74" t="b">
        <v>0</v>
      </c>
      <c r="X271" s="74" t="b">
        <v>0</v>
      </c>
      <c r="Y271" s="74" t="b">
        <v>0</v>
      </c>
      <c r="Z271" s="148" t="str">
        <f>IFERROR(__xludf.DUMMYFUNCTION("""COMPUTED_VALUE"""),"")</f>
        <v/>
      </c>
      <c r="AA271" s="148" t="str">
        <f>IFERROR(__xludf.DUMMYFUNCTION("""COMPUTED_VALUE"""),"")</f>
        <v/>
      </c>
      <c r="AB271" s="148" t="str">
        <f>IFERROR(__xludf.DUMMYFUNCTION("""COMPUTED_VALUE"""),"")</f>
        <v/>
      </c>
      <c r="AC271" s="149"/>
      <c r="AD271" s="148"/>
      <c r="AE271" s="148"/>
      <c r="AF271" s="148" t="s">
        <v>613</v>
      </c>
      <c r="AG271" s="148"/>
      <c r="AH271" s="148"/>
      <c r="AI271" s="148" t="s">
        <v>614</v>
      </c>
      <c r="AJ271" s="148" t="s">
        <v>614</v>
      </c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</row>
    <row r="272" ht="14.25" customHeight="1">
      <c r="A272" s="134"/>
      <c r="B272" s="135"/>
      <c r="C272" s="58"/>
      <c r="D272" s="136"/>
      <c r="E272" s="60"/>
      <c r="F272" s="60"/>
      <c r="G272" s="90"/>
      <c r="H272" s="63"/>
      <c r="I272" s="138"/>
      <c r="J272" s="63"/>
      <c r="K272" s="65"/>
      <c r="L272" s="66"/>
      <c r="M272" s="81"/>
      <c r="N272" s="167"/>
      <c r="O272" s="69">
        <f t="shared" si="17"/>
        <v>0</v>
      </c>
      <c r="P272" s="142"/>
      <c r="Q272" s="143"/>
      <c r="R272" s="74"/>
      <c r="S272" s="158"/>
      <c r="T272" s="146">
        <f t="shared" si="14"/>
        <v>0</v>
      </c>
      <c r="U272" s="146"/>
      <c r="V272" s="147"/>
      <c r="W272" s="74" t="b">
        <v>0</v>
      </c>
      <c r="X272" s="74" t="b">
        <v>0</v>
      </c>
      <c r="Y272" s="74" t="b">
        <v>0</v>
      </c>
      <c r="Z272" s="148" t="str">
        <f>IFERROR(__xludf.DUMMYFUNCTION("""COMPUTED_VALUE"""),"")</f>
        <v/>
      </c>
      <c r="AA272" s="148" t="str">
        <f>IFERROR(__xludf.DUMMYFUNCTION("""COMPUTED_VALUE"""),"")</f>
        <v/>
      </c>
      <c r="AB272" s="148" t="str">
        <f>IFERROR(__xludf.DUMMYFUNCTION("""COMPUTED_VALUE"""),"")</f>
        <v/>
      </c>
      <c r="AC272" s="149"/>
      <c r="AD272" s="148"/>
      <c r="AE272" s="148"/>
      <c r="AF272" s="148" t="s">
        <v>613</v>
      </c>
      <c r="AG272" s="148"/>
      <c r="AH272" s="148"/>
      <c r="AI272" s="148" t="s">
        <v>614</v>
      </c>
      <c r="AJ272" s="148" t="s">
        <v>614</v>
      </c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</row>
    <row r="273" ht="14.25" customHeight="1">
      <c r="A273" s="134"/>
      <c r="B273" s="135"/>
      <c r="C273" s="58"/>
      <c r="D273" s="136"/>
      <c r="E273" s="60"/>
      <c r="F273" s="60"/>
      <c r="G273" s="90"/>
      <c r="H273" s="154"/>
      <c r="I273" s="138"/>
      <c r="J273" s="63"/>
      <c r="K273" s="65"/>
      <c r="L273" s="66"/>
      <c r="M273" s="81"/>
      <c r="N273" s="167"/>
      <c r="O273" s="69">
        <f t="shared" si="17"/>
        <v>0</v>
      </c>
      <c r="P273" s="142"/>
      <c r="Q273" s="143"/>
      <c r="R273" s="74"/>
      <c r="S273" s="158"/>
      <c r="T273" s="146">
        <f t="shared" si="14"/>
        <v>0</v>
      </c>
      <c r="U273" s="146"/>
      <c r="V273" s="147"/>
      <c r="W273" s="74" t="b">
        <v>0</v>
      </c>
      <c r="X273" s="74" t="b">
        <v>0</v>
      </c>
      <c r="Y273" s="74" t="b">
        <v>0</v>
      </c>
      <c r="Z273" s="148" t="str">
        <f>IFERROR(__xludf.DUMMYFUNCTION("""COMPUTED_VALUE"""),"")</f>
        <v/>
      </c>
      <c r="AA273" s="148" t="str">
        <f>IFERROR(__xludf.DUMMYFUNCTION("""COMPUTED_VALUE"""),"")</f>
        <v/>
      </c>
      <c r="AB273" s="148" t="str">
        <f>IFERROR(__xludf.DUMMYFUNCTION("""COMPUTED_VALUE"""),"")</f>
        <v/>
      </c>
      <c r="AC273" s="149"/>
      <c r="AD273" s="148"/>
      <c r="AE273" s="148"/>
      <c r="AF273" s="148" t="s">
        <v>613</v>
      </c>
      <c r="AG273" s="148"/>
      <c r="AH273" s="148"/>
      <c r="AI273" s="148" t="s">
        <v>614</v>
      </c>
      <c r="AJ273" s="148" t="s">
        <v>614</v>
      </c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</row>
    <row r="274" ht="14.25" customHeight="1">
      <c r="A274" s="134"/>
      <c r="B274" s="135"/>
      <c r="C274" s="58"/>
      <c r="D274" s="136"/>
      <c r="E274" s="60"/>
      <c r="F274" s="60"/>
      <c r="G274" s="90"/>
      <c r="H274" s="63"/>
      <c r="I274" s="138"/>
      <c r="J274" s="63"/>
      <c r="K274" s="65"/>
      <c r="L274" s="66"/>
      <c r="M274" s="81"/>
      <c r="N274" s="167"/>
      <c r="O274" s="69">
        <f t="shared" si="17"/>
        <v>0</v>
      </c>
      <c r="P274" s="142"/>
      <c r="Q274" s="143"/>
      <c r="R274" s="74"/>
      <c r="S274" s="158"/>
      <c r="T274" s="146">
        <f t="shared" si="14"/>
        <v>0</v>
      </c>
      <c r="U274" s="146"/>
      <c r="V274" s="147"/>
      <c r="W274" s="74" t="b">
        <v>0</v>
      </c>
      <c r="X274" s="74" t="b">
        <v>0</v>
      </c>
      <c r="Y274" s="74" t="b">
        <v>0</v>
      </c>
      <c r="Z274" s="148" t="str">
        <f>IFERROR(__xludf.DUMMYFUNCTION("""COMPUTED_VALUE"""),"")</f>
        <v/>
      </c>
      <c r="AA274" s="148" t="str">
        <f>IFERROR(__xludf.DUMMYFUNCTION("""COMPUTED_VALUE"""),"")</f>
        <v/>
      </c>
      <c r="AB274" s="148" t="str">
        <f>IFERROR(__xludf.DUMMYFUNCTION("""COMPUTED_VALUE"""),"")</f>
        <v/>
      </c>
      <c r="AC274" s="149"/>
      <c r="AD274" s="148"/>
      <c r="AE274" s="148"/>
      <c r="AF274" s="148" t="s">
        <v>613</v>
      </c>
      <c r="AG274" s="148"/>
      <c r="AH274" s="148"/>
      <c r="AI274" s="148" t="s">
        <v>614</v>
      </c>
      <c r="AJ274" s="148" t="s">
        <v>614</v>
      </c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</row>
    <row r="275" ht="14.25" customHeight="1">
      <c r="A275" s="134"/>
      <c r="B275" s="135"/>
      <c r="C275" s="58"/>
      <c r="D275" s="136"/>
      <c r="E275" s="60"/>
      <c r="F275" s="60"/>
      <c r="G275" s="90"/>
      <c r="H275" s="63"/>
      <c r="I275" s="138"/>
      <c r="J275" s="63"/>
      <c r="K275" s="65"/>
      <c r="L275" s="66"/>
      <c r="M275" s="81"/>
      <c r="N275" s="167"/>
      <c r="O275" s="69">
        <f t="shared" si="17"/>
        <v>0</v>
      </c>
      <c r="P275" s="142"/>
      <c r="Q275" s="143"/>
      <c r="R275" s="74"/>
      <c r="S275" s="158"/>
      <c r="T275" s="146">
        <f t="shared" si="14"/>
        <v>0</v>
      </c>
      <c r="U275" s="146"/>
      <c r="V275" s="147"/>
      <c r="W275" s="74" t="b">
        <v>0</v>
      </c>
      <c r="X275" s="74" t="b">
        <v>0</v>
      </c>
      <c r="Y275" s="74" t="b">
        <v>0</v>
      </c>
      <c r="Z275" s="148" t="str">
        <f>IFERROR(__xludf.DUMMYFUNCTION("""COMPUTED_VALUE"""),"")</f>
        <v/>
      </c>
      <c r="AA275" s="148" t="str">
        <f>IFERROR(__xludf.DUMMYFUNCTION("""COMPUTED_VALUE"""),"")</f>
        <v/>
      </c>
      <c r="AB275" s="148" t="str">
        <f>IFERROR(__xludf.DUMMYFUNCTION("""COMPUTED_VALUE"""),"")</f>
        <v/>
      </c>
      <c r="AC275" s="149"/>
      <c r="AD275" s="148"/>
      <c r="AE275" s="148"/>
      <c r="AF275" s="148" t="s">
        <v>613</v>
      </c>
      <c r="AG275" s="148"/>
      <c r="AH275" s="148"/>
      <c r="AI275" s="148" t="s">
        <v>614</v>
      </c>
      <c r="AJ275" s="148" t="s">
        <v>614</v>
      </c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</row>
    <row r="276" ht="14.25" customHeight="1">
      <c r="A276" s="134"/>
      <c r="B276" s="135"/>
      <c r="C276" s="58"/>
      <c r="D276" s="136"/>
      <c r="E276" s="60"/>
      <c r="F276" s="60"/>
      <c r="G276" s="90"/>
      <c r="H276" s="63"/>
      <c r="I276" s="138"/>
      <c r="J276" s="63"/>
      <c r="K276" s="65"/>
      <c r="L276" s="66"/>
      <c r="M276" s="81"/>
      <c r="N276" s="167"/>
      <c r="O276" s="69">
        <f t="shared" si="17"/>
        <v>0</v>
      </c>
      <c r="P276" s="142"/>
      <c r="Q276" s="143"/>
      <c r="R276" s="74"/>
      <c r="S276" s="158"/>
      <c r="T276" s="146">
        <f t="shared" si="14"/>
        <v>0</v>
      </c>
      <c r="U276" s="146"/>
      <c r="V276" s="147"/>
      <c r="W276" s="74" t="b">
        <v>0</v>
      </c>
      <c r="X276" s="74" t="b">
        <v>0</v>
      </c>
      <c r="Y276" s="74" t="b">
        <v>0</v>
      </c>
      <c r="Z276" s="148" t="str">
        <f>IFERROR(__xludf.DUMMYFUNCTION("""COMPUTED_VALUE"""),"")</f>
        <v/>
      </c>
      <c r="AA276" s="148" t="str">
        <f>IFERROR(__xludf.DUMMYFUNCTION("""COMPUTED_VALUE"""),"")</f>
        <v/>
      </c>
      <c r="AB276" s="148" t="str">
        <f>IFERROR(__xludf.DUMMYFUNCTION("""COMPUTED_VALUE"""),"")</f>
        <v/>
      </c>
      <c r="AC276" s="149"/>
      <c r="AD276" s="148"/>
      <c r="AE276" s="148"/>
      <c r="AF276" s="148" t="s">
        <v>613</v>
      </c>
      <c r="AG276" s="148"/>
      <c r="AH276" s="148"/>
      <c r="AI276" s="148" t="s">
        <v>614</v>
      </c>
      <c r="AJ276" s="148" t="s">
        <v>614</v>
      </c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</row>
    <row r="277" ht="14.25" customHeight="1">
      <c r="A277" s="134"/>
      <c r="B277" s="135"/>
      <c r="C277" s="58"/>
      <c r="D277" s="136"/>
      <c r="E277" s="60"/>
      <c r="F277" s="60"/>
      <c r="G277" s="90"/>
      <c r="H277" s="63"/>
      <c r="I277" s="138"/>
      <c r="J277" s="63"/>
      <c r="K277" s="65"/>
      <c r="L277" s="66"/>
      <c r="M277" s="81"/>
      <c r="N277" s="167"/>
      <c r="O277" s="69">
        <f t="shared" si="17"/>
        <v>0</v>
      </c>
      <c r="P277" s="142"/>
      <c r="Q277" s="143"/>
      <c r="R277" s="74"/>
      <c r="S277" s="158"/>
      <c r="T277" s="146">
        <f t="shared" si="14"/>
        <v>0</v>
      </c>
      <c r="U277" s="146"/>
      <c r="V277" s="147"/>
      <c r="W277" s="74" t="b">
        <v>0</v>
      </c>
      <c r="X277" s="74" t="b">
        <v>0</v>
      </c>
      <c r="Y277" s="74" t="b">
        <v>0</v>
      </c>
      <c r="Z277" s="148" t="str">
        <f>IFERROR(__xludf.DUMMYFUNCTION("""COMPUTED_VALUE"""),"")</f>
        <v/>
      </c>
      <c r="AA277" s="148" t="str">
        <f>IFERROR(__xludf.DUMMYFUNCTION("""COMPUTED_VALUE"""),"")</f>
        <v/>
      </c>
      <c r="AB277" s="148" t="str">
        <f>IFERROR(__xludf.DUMMYFUNCTION("""COMPUTED_VALUE"""),"")</f>
        <v/>
      </c>
      <c r="AC277" s="149"/>
      <c r="AD277" s="148"/>
      <c r="AE277" s="148"/>
      <c r="AF277" s="148" t="s">
        <v>613</v>
      </c>
      <c r="AG277" s="148"/>
      <c r="AH277" s="148"/>
      <c r="AI277" s="148" t="s">
        <v>614</v>
      </c>
      <c r="AJ277" s="148" t="s">
        <v>614</v>
      </c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</row>
    <row r="278" ht="14.25" customHeight="1">
      <c r="A278" s="134"/>
      <c r="B278" s="135"/>
      <c r="C278" s="58"/>
      <c r="D278" s="136"/>
      <c r="E278" s="60"/>
      <c r="F278" s="60"/>
      <c r="G278" s="90"/>
      <c r="H278" s="63"/>
      <c r="I278" s="138"/>
      <c r="J278" s="63"/>
      <c r="K278" s="65"/>
      <c r="L278" s="66"/>
      <c r="M278" s="81"/>
      <c r="N278" s="167"/>
      <c r="O278" s="69">
        <f t="shared" si="17"/>
        <v>0</v>
      </c>
      <c r="P278" s="142"/>
      <c r="Q278" s="143"/>
      <c r="R278" s="74"/>
      <c r="S278" s="158"/>
      <c r="T278" s="146">
        <f t="shared" si="14"/>
        <v>0</v>
      </c>
      <c r="U278" s="146"/>
      <c r="V278" s="147"/>
      <c r="W278" s="74" t="b">
        <v>0</v>
      </c>
      <c r="X278" s="74" t="b">
        <v>0</v>
      </c>
      <c r="Y278" s="74" t="b">
        <v>0</v>
      </c>
      <c r="Z278" s="148" t="str">
        <f>IFERROR(__xludf.DUMMYFUNCTION("""COMPUTED_VALUE"""),"")</f>
        <v/>
      </c>
      <c r="AA278" s="148" t="str">
        <f>IFERROR(__xludf.DUMMYFUNCTION("""COMPUTED_VALUE"""),"")</f>
        <v/>
      </c>
      <c r="AB278" s="148" t="str">
        <f>IFERROR(__xludf.DUMMYFUNCTION("""COMPUTED_VALUE"""),"")</f>
        <v/>
      </c>
      <c r="AC278" s="149"/>
      <c r="AD278" s="148"/>
      <c r="AE278" s="148"/>
      <c r="AF278" s="148" t="s">
        <v>613</v>
      </c>
      <c r="AG278" s="148"/>
      <c r="AH278" s="148"/>
      <c r="AI278" s="148" t="s">
        <v>614</v>
      </c>
      <c r="AJ278" s="148" t="s">
        <v>614</v>
      </c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</row>
    <row r="279" ht="14.25" customHeight="1">
      <c r="A279" s="134"/>
      <c r="B279" s="135"/>
      <c r="C279" s="58"/>
      <c r="D279" s="136"/>
      <c r="E279" s="60"/>
      <c r="F279" s="60"/>
      <c r="G279" s="90"/>
      <c r="H279" s="154"/>
      <c r="I279" s="138"/>
      <c r="J279" s="63"/>
      <c r="K279" s="65"/>
      <c r="L279" s="66"/>
      <c r="M279" s="81"/>
      <c r="N279" s="167"/>
      <c r="O279" s="69">
        <f t="shared" si="17"/>
        <v>0</v>
      </c>
      <c r="P279" s="142"/>
      <c r="Q279" s="143"/>
      <c r="R279" s="74"/>
      <c r="S279" s="158"/>
      <c r="T279" s="146">
        <f t="shared" si="14"/>
        <v>0</v>
      </c>
      <c r="U279" s="146"/>
      <c r="V279" s="147"/>
      <c r="W279" s="74" t="b">
        <v>0</v>
      </c>
      <c r="X279" s="74" t="b">
        <v>0</v>
      </c>
      <c r="Y279" s="74" t="b">
        <v>0</v>
      </c>
      <c r="Z279" s="148" t="str">
        <f>IFERROR(__xludf.DUMMYFUNCTION("""COMPUTED_VALUE"""),"")</f>
        <v/>
      </c>
      <c r="AA279" s="148" t="str">
        <f>IFERROR(__xludf.DUMMYFUNCTION("""COMPUTED_VALUE"""),"")</f>
        <v/>
      </c>
      <c r="AB279" s="148" t="str">
        <f>IFERROR(__xludf.DUMMYFUNCTION("""COMPUTED_VALUE"""),"")</f>
        <v/>
      </c>
      <c r="AC279" s="149"/>
      <c r="AD279" s="148"/>
      <c r="AE279" s="148"/>
      <c r="AF279" s="148" t="s">
        <v>613</v>
      </c>
      <c r="AG279" s="148"/>
      <c r="AH279" s="148"/>
      <c r="AI279" s="148" t="s">
        <v>614</v>
      </c>
      <c r="AJ279" s="148" t="s">
        <v>614</v>
      </c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</row>
    <row r="280" ht="14.25" customHeight="1">
      <c r="A280" s="134"/>
      <c r="B280" s="135"/>
      <c r="C280" s="58"/>
      <c r="D280" s="136"/>
      <c r="E280" s="60"/>
      <c r="F280" s="60"/>
      <c r="G280" s="90"/>
      <c r="H280" s="154"/>
      <c r="I280" s="138"/>
      <c r="J280" s="63"/>
      <c r="K280" s="65"/>
      <c r="L280" s="66"/>
      <c r="M280" s="81"/>
      <c r="N280" s="167"/>
      <c r="O280" s="69">
        <f t="shared" si="17"/>
        <v>0</v>
      </c>
      <c r="P280" s="142"/>
      <c r="Q280" s="143"/>
      <c r="R280" s="74"/>
      <c r="S280" s="158"/>
      <c r="T280" s="146">
        <f t="shared" si="14"/>
        <v>0</v>
      </c>
      <c r="U280" s="146"/>
      <c r="V280" s="147"/>
      <c r="W280" s="74" t="b">
        <v>0</v>
      </c>
      <c r="X280" s="74" t="b">
        <v>0</v>
      </c>
      <c r="Y280" s="74" t="b">
        <v>0</v>
      </c>
      <c r="Z280" s="148" t="str">
        <f>IFERROR(__xludf.DUMMYFUNCTION("""COMPUTED_VALUE"""),"")</f>
        <v/>
      </c>
      <c r="AA280" s="148" t="str">
        <f>IFERROR(__xludf.DUMMYFUNCTION("""COMPUTED_VALUE"""),"")</f>
        <v/>
      </c>
      <c r="AB280" s="148" t="str">
        <f>IFERROR(__xludf.DUMMYFUNCTION("""COMPUTED_VALUE"""),"")</f>
        <v/>
      </c>
      <c r="AC280" s="149"/>
      <c r="AD280" s="148"/>
      <c r="AE280" s="148"/>
      <c r="AF280" s="148" t="s">
        <v>613</v>
      </c>
      <c r="AG280" s="148"/>
      <c r="AH280" s="148"/>
      <c r="AI280" s="148" t="s">
        <v>614</v>
      </c>
      <c r="AJ280" s="148" t="s">
        <v>614</v>
      </c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</row>
    <row r="281" ht="14.25" customHeight="1">
      <c r="A281" s="134"/>
      <c r="B281" s="135"/>
      <c r="C281" s="58"/>
      <c r="D281" s="136"/>
      <c r="E281" s="60"/>
      <c r="F281" s="60"/>
      <c r="G281" s="90"/>
      <c r="H281" s="154"/>
      <c r="I281" s="138"/>
      <c r="J281" s="63"/>
      <c r="K281" s="65"/>
      <c r="L281" s="66"/>
      <c r="M281" s="81"/>
      <c r="N281" s="167"/>
      <c r="O281" s="69">
        <f t="shared" si="17"/>
        <v>0</v>
      </c>
      <c r="P281" s="142"/>
      <c r="Q281" s="143"/>
      <c r="R281" s="74"/>
      <c r="S281" s="158"/>
      <c r="T281" s="146">
        <f t="shared" si="14"/>
        <v>0</v>
      </c>
      <c r="U281" s="146"/>
      <c r="V281" s="147"/>
      <c r="W281" s="74" t="b">
        <v>0</v>
      </c>
      <c r="X281" s="74" t="b">
        <v>0</v>
      </c>
      <c r="Y281" s="74" t="b">
        <v>0</v>
      </c>
      <c r="Z281" s="148" t="str">
        <f>IFERROR(__xludf.DUMMYFUNCTION("""COMPUTED_VALUE"""),"")</f>
        <v/>
      </c>
      <c r="AA281" s="148" t="str">
        <f>IFERROR(__xludf.DUMMYFUNCTION("""COMPUTED_VALUE"""),"")</f>
        <v/>
      </c>
      <c r="AB281" s="148" t="str">
        <f>IFERROR(__xludf.DUMMYFUNCTION("""COMPUTED_VALUE"""),"")</f>
        <v/>
      </c>
      <c r="AC281" s="149"/>
      <c r="AD281" s="148"/>
      <c r="AE281" s="148"/>
      <c r="AF281" s="148" t="s">
        <v>613</v>
      </c>
      <c r="AG281" s="148"/>
      <c r="AH281" s="148"/>
      <c r="AI281" s="148" t="s">
        <v>614</v>
      </c>
      <c r="AJ281" s="148" t="s">
        <v>614</v>
      </c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</row>
    <row r="282" ht="14.25" customHeight="1">
      <c r="A282" s="134"/>
      <c r="B282" s="135"/>
      <c r="C282" s="77"/>
      <c r="D282" s="136"/>
      <c r="E282" s="60"/>
      <c r="F282" s="60"/>
      <c r="G282" s="62"/>
      <c r="H282" s="63"/>
      <c r="I282" s="155"/>
      <c r="J282" s="85"/>
      <c r="K282" s="80"/>
      <c r="L282" s="66"/>
      <c r="M282" s="156"/>
      <c r="N282" s="157"/>
      <c r="O282" s="69">
        <f t="shared" si="17"/>
        <v>0</v>
      </c>
      <c r="P282" s="151"/>
      <c r="Q282" s="143"/>
      <c r="R282" s="74"/>
      <c r="S282" s="158"/>
      <c r="T282" s="146">
        <f t="shared" si="14"/>
        <v>0</v>
      </c>
      <c r="U282" s="146"/>
      <c r="V282" s="147"/>
      <c r="W282" s="74" t="b">
        <v>0</v>
      </c>
      <c r="X282" s="74" t="b">
        <v>0</v>
      </c>
      <c r="Y282" s="74" t="b">
        <v>0</v>
      </c>
      <c r="Z282" s="148" t="str">
        <f>IFERROR(__xludf.DUMMYFUNCTION("""COMPUTED_VALUE"""),"")</f>
        <v/>
      </c>
      <c r="AA282" s="148" t="str">
        <f>IFERROR(__xludf.DUMMYFUNCTION("""COMPUTED_VALUE"""),"")</f>
        <v/>
      </c>
      <c r="AB282" s="148" t="str">
        <f>IFERROR(__xludf.DUMMYFUNCTION("""COMPUTED_VALUE"""),"")</f>
        <v/>
      </c>
      <c r="AC282" s="153"/>
      <c r="AD282" s="148"/>
      <c r="AE282" s="148"/>
      <c r="AF282" s="148" t="s">
        <v>613</v>
      </c>
      <c r="AG282" s="148"/>
      <c r="AH282" s="148"/>
      <c r="AI282" s="148" t="s">
        <v>614</v>
      </c>
      <c r="AJ282" s="148" t="s">
        <v>614</v>
      </c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</row>
    <row r="283" ht="14.25" customHeight="1">
      <c r="A283" s="134"/>
      <c r="B283" s="135"/>
      <c r="C283" s="77"/>
      <c r="D283" s="136"/>
      <c r="E283" s="60"/>
      <c r="F283" s="60"/>
      <c r="G283" s="62"/>
      <c r="H283" s="63"/>
      <c r="I283" s="155"/>
      <c r="J283" s="85"/>
      <c r="K283" s="80"/>
      <c r="L283" s="66"/>
      <c r="M283" s="156"/>
      <c r="N283" s="157"/>
      <c r="O283" s="69">
        <f t="shared" si="17"/>
        <v>0</v>
      </c>
      <c r="P283" s="151"/>
      <c r="Q283" s="143"/>
      <c r="R283" s="74"/>
      <c r="S283" s="158"/>
      <c r="T283" s="146">
        <f t="shared" si="14"/>
        <v>0</v>
      </c>
      <c r="U283" s="146"/>
      <c r="V283" s="147"/>
      <c r="W283" s="74" t="b">
        <v>0</v>
      </c>
      <c r="X283" s="74" t="b">
        <v>0</v>
      </c>
      <c r="Y283" s="74" t="b">
        <v>0</v>
      </c>
      <c r="Z283" s="148" t="str">
        <f>IFERROR(__xludf.DUMMYFUNCTION("""COMPUTED_VALUE"""),"")</f>
        <v/>
      </c>
      <c r="AA283" s="148" t="str">
        <f>IFERROR(__xludf.DUMMYFUNCTION("""COMPUTED_VALUE"""),"")</f>
        <v/>
      </c>
      <c r="AB283" s="148" t="str">
        <f>IFERROR(__xludf.DUMMYFUNCTION("""COMPUTED_VALUE"""),"")</f>
        <v/>
      </c>
      <c r="AC283" s="153"/>
      <c r="AD283" s="148"/>
      <c r="AE283" s="148"/>
      <c r="AF283" s="148" t="s">
        <v>613</v>
      </c>
      <c r="AG283" s="148"/>
      <c r="AH283" s="148"/>
      <c r="AI283" s="148" t="s">
        <v>614</v>
      </c>
      <c r="AJ283" s="148" t="s">
        <v>614</v>
      </c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</row>
    <row r="284" ht="14.25" customHeight="1">
      <c r="A284" s="134"/>
      <c r="B284" s="135"/>
      <c r="C284" s="77"/>
      <c r="D284" s="136"/>
      <c r="E284" s="60"/>
      <c r="F284" s="60"/>
      <c r="G284" s="62"/>
      <c r="H284" s="63"/>
      <c r="I284" s="155"/>
      <c r="J284" s="85"/>
      <c r="K284" s="80"/>
      <c r="L284" s="66"/>
      <c r="M284" s="156"/>
      <c r="N284" s="157"/>
      <c r="O284" s="69">
        <f t="shared" si="17"/>
        <v>0</v>
      </c>
      <c r="P284" s="151"/>
      <c r="Q284" s="143"/>
      <c r="R284" s="74"/>
      <c r="S284" s="158"/>
      <c r="T284" s="146">
        <f t="shared" si="14"/>
        <v>0</v>
      </c>
      <c r="U284" s="146"/>
      <c r="V284" s="147"/>
      <c r="W284" s="74" t="b">
        <v>0</v>
      </c>
      <c r="X284" s="74" t="b">
        <v>0</v>
      </c>
      <c r="Y284" s="74" t="b">
        <v>0</v>
      </c>
      <c r="Z284" s="148" t="str">
        <f>IFERROR(__xludf.DUMMYFUNCTION("""COMPUTED_VALUE"""),"")</f>
        <v/>
      </c>
      <c r="AA284" s="148" t="str">
        <f>IFERROR(__xludf.DUMMYFUNCTION("""COMPUTED_VALUE"""),"")</f>
        <v/>
      </c>
      <c r="AB284" s="148" t="str">
        <f>IFERROR(__xludf.DUMMYFUNCTION("""COMPUTED_VALUE"""),"")</f>
        <v/>
      </c>
      <c r="AC284" s="153"/>
      <c r="AD284" s="148"/>
      <c r="AE284" s="148"/>
      <c r="AF284" s="148" t="s">
        <v>613</v>
      </c>
      <c r="AG284" s="148"/>
      <c r="AH284" s="148"/>
      <c r="AI284" s="148" t="s">
        <v>614</v>
      </c>
      <c r="AJ284" s="148" t="s">
        <v>614</v>
      </c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</row>
    <row r="285" ht="14.25" customHeight="1">
      <c r="A285" s="134"/>
      <c r="B285" s="135"/>
      <c r="C285" s="77"/>
      <c r="D285" s="136"/>
      <c r="E285" s="60"/>
      <c r="F285" s="60"/>
      <c r="G285" s="62"/>
      <c r="H285" s="63"/>
      <c r="I285" s="155"/>
      <c r="J285" s="85"/>
      <c r="K285" s="80"/>
      <c r="L285" s="66"/>
      <c r="M285" s="156"/>
      <c r="N285" s="157"/>
      <c r="O285" s="69">
        <f t="shared" si="17"/>
        <v>0</v>
      </c>
      <c r="P285" s="151"/>
      <c r="Q285" s="143"/>
      <c r="R285" s="74"/>
      <c r="S285" s="158"/>
      <c r="T285" s="146">
        <f t="shared" si="14"/>
        <v>0</v>
      </c>
      <c r="U285" s="146"/>
      <c r="V285" s="147"/>
      <c r="W285" s="74" t="b">
        <v>0</v>
      </c>
      <c r="X285" s="74" t="b">
        <v>0</v>
      </c>
      <c r="Y285" s="74" t="b">
        <v>0</v>
      </c>
      <c r="Z285" s="148" t="str">
        <f>IFERROR(__xludf.DUMMYFUNCTION("""COMPUTED_VALUE"""),"")</f>
        <v/>
      </c>
      <c r="AA285" s="148" t="str">
        <f>IFERROR(__xludf.DUMMYFUNCTION("""COMPUTED_VALUE"""),"")</f>
        <v/>
      </c>
      <c r="AB285" s="148" t="str">
        <f>IFERROR(__xludf.DUMMYFUNCTION("""COMPUTED_VALUE"""),"")</f>
        <v/>
      </c>
      <c r="AC285" s="153"/>
      <c r="AD285" s="148"/>
      <c r="AE285" s="148"/>
      <c r="AF285" s="148" t="s">
        <v>613</v>
      </c>
      <c r="AG285" s="148"/>
      <c r="AH285" s="148"/>
      <c r="AI285" s="148" t="s">
        <v>614</v>
      </c>
      <c r="AJ285" s="148" t="s">
        <v>614</v>
      </c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</row>
    <row r="286" ht="14.25" customHeight="1">
      <c r="A286" s="134"/>
      <c r="B286" s="135"/>
      <c r="C286" s="171"/>
      <c r="D286" s="136"/>
      <c r="E286" s="60"/>
      <c r="F286" s="60"/>
      <c r="G286" s="62"/>
      <c r="H286" s="63"/>
      <c r="I286" s="138"/>
      <c r="J286" s="63"/>
      <c r="K286" s="65"/>
      <c r="L286" s="66"/>
      <c r="M286" s="81"/>
      <c r="N286" s="167"/>
      <c r="O286" s="69">
        <f t="shared" si="17"/>
        <v>0</v>
      </c>
      <c r="P286" s="142"/>
      <c r="Q286" s="143"/>
      <c r="R286" s="74"/>
      <c r="S286" s="158"/>
      <c r="T286" s="146">
        <f t="shared" si="14"/>
        <v>0</v>
      </c>
      <c r="U286" s="146"/>
      <c r="V286" s="147"/>
      <c r="W286" s="74" t="b">
        <v>0</v>
      </c>
      <c r="X286" s="74" t="b">
        <v>0</v>
      </c>
      <c r="Y286" s="74" t="b">
        <v>0</v>
      </c>
      <c r="Z286" s="148" t="str">
        <f>IFERROR(__xludf.DUMMYFUNCTION("""COMPUTED_VALUE"""),"")</f>
        <v/>
      </c>
      <c r="AA286" s="148" t="str">
        <f>IFERROR(__xludf.DUMMYFUNCTION("""COMPUTED_VALUE"""),"")</f>
        <v/>
      </c>
      <c r="AB286" s="148" t="str">
        <f>IFERROR(__xludf.DUMMYFUNCTION("""COMPUTED_VALUE"""),"")</f>
        <v/>
      </c>
      <c r="AC286" s="149"/>
      <c r="AD286" s="148"/>
      <c r="AE286" s="148"/>
      <c r="AF286" s="148" t="s">
        <v>613</v>
      </c>
      <c r="AG286" s="148"/>
      <c r="AH286" s="148"/>
      <c r="AI286" s="148" t="s">
        <v>614</v>
      </c>
      <c r="AJ286" s="148" t="s">
        <v>614</v>
      </c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</row>
    <row r="287" ht="14.25" customHeight="1">
      <c r="A287" s="134"/>
      <c r="B287" s="135"/>
      <c r="C287" s="77"/>
      <c r="D287" s="136"/>
      <c r="E287" s="60"/>
      <c r="F287" s="60"/>
      <c r="G287" s="62"/>
      <c r="H287" s="154"/>
      <c r="I287" s="155"/>
      <c r="J287" s="85"/>
      <c r="K287" s="80"/>
      <c r="L287" s="66"/>
      <c r="M287" s="156"/>
      <c r="N287" s="157"/>
      <c r="O287" s="69">
        <f t="shared" si="17"/>
        <v>0</v>
      </c>
      <c r="P287" s="142"/>
      <c r="Q287" s="143"/>
      <c r="R287" s="74"/>
      <c r="S287" s="158"/>
      <c r="T287" s="146">
        <f t="shared" si="14"/>
        <v>0</v>
      </c>
      <c r="U287" s="146"/>
      <c r="V287" s="147"/>
      <c r="W287" s="74" t="b">
        <v>0</v>
      </c>
      <c r="X287" s="74" t="b">
        <v>0</v>
      </c>
      <c r="Y287" s="74" t="b">
        <v>0</v>
      </c>
      <c r="Z287" s="148" t="str">
        <f>IFERROR(__xludf.DUMMYFUNCTION("""COMPUTED_VALUE"""),"")</f>
        <v/>
      </c>
      <c r="AA287" s="148" t="str">
        <f>IFERROR(__xludf.DUMMYFUNCTION("""COMPUTED_VALUE"""),"")</f>
        <v/>
      </c>
      <c r="AB287" s="148" t="str">
        <f>IFERROR(__xludf.DUMMYFUNCTION("""COMPUTED_VALUE"""),"")</f>
        <v/>
      </c>
      <c r="AC287" s="153"/>
      <c r="AD287" s="148"/>
      <c r="AE287" s="148"/>
      <c r="AF287" s="148" t="s">
        <v>613</v>
      </c>
      <c r="AG287" s="148"/>
      <c r="AH287" s="148"/>
      <c r="AI287" s="148" t="s">
        <v>614</v>
      </c>
      <c r="AJ287" s="148" t="s">
        <v>614</v>
      </c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</row>
    <row r="288" ht="14.25" customHeight="1">
      <c r="A288" s="134"/>
      <c r="B288" s="135"/>
      <c r="C288" s="77"/>
      <c r="D288" s="136"/>
      <c r="E288" s="60"/>
      <c r="F288" s="60"/>
      <c r="G288" s="62"/>
      <c r="H288" s="154"/>
      <c r="I288" s="155"/>
      <c r="J288" s="85"/>
      <c r="K288" s="80"/>
      <c r="L288" s="66"/>
      <c r="M288" s="156"/>
      <c r="N288" s="157"/>
      <c r="O288" s="69">
        <f t="shared" si="17"/>
        <v>0</v>
      </c>
      <c r="P288" s="142"/>
      <c r="Q288" s="143"/>
      <c r="R288" s="74"/>
      <c r="S288" s="158"/>
      <c r="T288" s="146">
        <f t="shared" si="14"/>
        <v>0</v>
      </c>
      <c r="U288" s="146"/>
      <c r="V288" s="147"/>
      <c r="W288" s="74" t="b">
        <v>0</v>
      </c>
      <c r="X288" s="74" t="b">
        <v>0</v>
      </c>
      <c r="Y288" s="74" t="b">
        <v>0</v>
      </c>
      <c r="Z288" s="148" t="str">
        <f>IFERROR(__xludf.DUMMYFUNCTION("""COMPUTED_VALUE"""),"")</f>
        <v/>
      </c>
      <c r="AA288" s="148" t="str">
        <f>IFERROR(__xludf.DUMMYFUNCTION("""COMPUTED_VALUE"""),"")</f>
        <v/>
      </c>
      <c r="AB288" s="148" t="str">
        <f>IFERROR(__xludf.DUMMYFUNCTION("""COMPUTED_VALUE"""),"")</f>
        <v/>
      </c>
      <c r="AC288" s="153"/>
      <c r="AD288" s="148"/>
      <c r="AE288" s="148"/>
      <c r="AF288" s="148" t="s">
        <v>613</v>
      </c>
      <c r="AG288" s="148"/>
      <c r="AH288" s="148"/>
      <c r="AI288" s="148" t="s">
        <v>614</v>
      </c>
      <c r="AJ288" s="148" t="s">
        <v>614</v>
      </c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</row>
    <row r="289" ht="14.25" customHeight="1">
      <c r="A289" s="134"/>
      <c r="B289" s="172"/>
      <c r="C289" s="173"/>
      <c r="D289" s="136"/>
      <c r="E289" s="60"/>
      <c r="F289" s="60"/>
      <c r="G289" s="174"/>
      <c r="H289" s="63"/>
      <c r="I289" s="155"/>
      <c r="J289" s="175"/>
      <c r="K289" s="80"/>
      <c r="L289" s="66"/>
      <c r="M289" s="156"/>
      <c r="N289" s="157"/>
      <c r="O289" s="69">
        <f t="shared" si="17"/>
        <v>0</v>
      </c>
      <c r="P289" s="142"/>
      <c r="Q289" s="143"/>
      <c r="R289" s="74"/>
      <c r="S289" s="74"/>
      <c r="T289" s="146">
        <f t="shared" si="14"/>
        <v>0</v>
      </c>
      <c r="U289" s="146"/>
      <c r="V289" s="147"/>
      <c r="W289" s="74" t="b">
        <v>0</v>
      </c>
      <c r="X289" s="74" t="b">
        <v>0</v>
      </c>
      <c r="Y289" s="74" t="b">
        <v>0</v>
      </c>
      <c r="Z289" s="148" t="str">
        <f>IFERROR(__xludf.DUMMYFUNCTION("""COMPUTED_VALUE"""),"")</f>
        <v/>
      </c>
      <c r="AA289" s="148" t="str">
        <f>IFERROR(__xludf.DUMMYFUNCTION("""COMPUTED_VALUE"""),"")</f>
        <v/>
      </c>
      <c r="AB289" s="148" t="str">
        <f>IFERROR(__xludf.DUMMYFUNCTION("""COMPUTED_VALUE"""),"")</f>
        <v/>
      </c>
      <c r="AC289" s="153"/>
      <c r="AD289" s="148"/>
      <c r="AE289" s="148"/>
      <c r="AF289" s="148" t="s">
        <v>613</v>
      </c>
      <c r="AG289" s="148"/>
      <c r="AH289" s="148"/>
      <c r="AI289" s="148" t="s">
        <v>614</v>
      </c>
      <c r="AJ289" s="148" t="s">
        <v>614</v>
      </c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</row>
    <row r="290" ht="14.25" customHeight="1">
      <c r="A290" s="152"/>
      <c r="B290" s="135"/>
      <c r="C290" s="77"/>
      <c r="D290" s="136"/>
      <c r="E290" s="60"/>
      <c r="F290" s="60"/>
      <c r="G290" s="62"/>
      <c r="H290" s="63"/>
      <c r="I290" s="155"/>
      <c r="J290" s="85"/>
      <c r="K290" s="80"/>
      <c r="L290" s="66"/>
      <c r="M290" s="156"/>
      <c r="N290" s="157"/>
      <c r="O290" s="69">
        <f t="shared" si="17"/>
        <v>0</v>
      </c>
      <c r="P290" s="151"/>
      <c r="Q290" s="143"/>
      <c r="R290" s="74"/>
      <c r="S290" s="158"/>
      <c r="T290" s="146">
        <f t="shared" si="14"/>
        <v>0</v>
      </c>
      <c r="U290" s="146"/>
      <c r="V290" s="147"/>
      <c r="W290" s="74" t="b">
        <v>0</v>
      </c>
      <c r="X290" s="74" t="b">
        <v>0</v>
      </c>
      <c r="Y290" s="74" t="b">
        <v>0</v>
      </c>
      <c r="Z290" s="148" t="str">
        <f>IFERROR(__xludf.DUMMYFUNCTION("""COMPUTED_VALUE"""),"")</f>
        <v/>
      </c>
      <c r="AA290" s="148" t="str">
        <f>IFERROR(__xludf.DUMMYFUNCTION("""COMPUTED_VALUE"""),"")</f>
        <v/>
      </c>
      <c r="AB290" s="148" t="str">
        <f>IFERROR(__xludf.DUMMYFUNCTION("""COMPUTED_VALUE"""),"")</f>
        <v/>
      </c>
      <c r="AC290" s="153"/>
      <c r="AD290" s="148"/>
      <c r="AE290" s="148"/>
      <c r="AF290" s="148" t="s">
        <v>613</v>
      </c>
      <c r="AG290" s="148"/>
      <c r="AH290" s="148"/>
      <c r="AI290" s="148" t="s">
        <v>614</v>
      </c>
      <c r="AJ290" s="148" t="s">
        <v>614</v>
      </c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</row>
    <row r="291" ht="14.25" customHeight="1">
      <c r="A291" s="152"/>
      <c r="B291" s="135"/>
      <c r="C291" s="77"/>
      <c r="D291" s="136"/>
      <c r="E291" s="60"/>
      <c r="F291" s="60"/>
      <c r="G291" s="62"/>
      <c r="H291" s="63"/>
      <c r="I291" s="155"/>
      <c r="J291" s="85"/>
      <c r="K291" s="80"/>
      <c r="L291" s="66"/>
      <c r="M291" s="156"/>
      <c r="N291" s="157"/>
      <c r="O291" s="69">
        <f t="shared" si="17"/>
        <v>0</v>
      </c>
      <c r="P291" s="151"/>
      <c r="Q291" s="143"/>
      <c r="R291" s="74"/>
      <c r="S291" s="158"/>
      <c r="T291" s="146">
        <f t="shared" si="14"/>
        <v>0</v>
      </c>
      <c r="U291" s="146"/>
      <c r="V291" s="147"/>
      <c r="W291" s="74" t="b">
        <v>0</v>
      </c>
      <c r="X291" s="74" t="b">
        <v>0</v>
      </c>
      <c r="Y291" s="74" t="b">
        <v>0</v>
      </c>
      <c r="Z291" s="148" t="str">
        <f>IFERROR(__xludf.DUMMYFUNCTION("""COMPUTED_VALUE"""),"")</f>
        <v/>
      </c>
      <c r="AA291" s="148" t="str">
        <f>IFERROR(__xludf.DUMMYFUNCTION("""COMPUTED_VALUE"""),"")</f>
        <v/>
      </c>
      <c r="AB291" s="148" t="str">
        <f>IFERROR(__xludf.DUMMYFUNCTION("""COMPUTED_VALUE"""),"")</f>
        <v/>
      </c>
      <c r="AC291" s="153"/>
      <c r="AD291" s="148"/>
      <c r="AE291" s="148"/>
      <c r="AF291" s="148" t="s">
        <v>613</v>
      </c>
      <c r="AG291" s="148"/>
      <c r="AH291" s="148"/>
      <c r="AI291" s="148" t="s">
        <v>614</v>
      </c>
      <c r="AJ291" s="148" t="s">
        <v>614</v>
      </c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</row>
    <row r="292" ht="14.25" customHeight="1">
      <c r="A292" s="152"/>
      <c r="B292" s="135"/>
      <c r="C292" s="77"/>
      <c r="D292" s="136"/>
      <c r="E292" s="60"/>
      <c r="F292" s="60"/>
      <c r="G292" s="62"/>
      <c r="H292" s="63"/>
      <c r="I292" s="155"/>
      <c r="J292" s="85"/>
      <c r="K292" s="80"/>
      <c r="L292" s="66"/>
      <c r="M292" s="156"/>
      <c r="N292" s="157"/>
      <c r="O292" s="69">
        <f t="shared" si="17"/>
        <v>0</v>
      </c>
      <c r="P292" s="151"/>
      <c r="Q292" s="143"/>
      <c r="R292" s="74"/>
      <c r="S292" s="158"/>
      <c r="T292" s="146">
        <f t="shared" si="14"/>
        <v>0</v>
      </c>
      <c r="U292" s="146"/>
      <c r="V292" s="147"/>
      <c r="W292" s="74" t="b">
        <v>0</v>
      </c>
      <c r="X292" s="74" t="b">
        <v>0</v>
      </c>
      <c r="Y292" s="74" t="b">
        <v>0</v>
      </c>
      <c r="Z292" s="148" t="str">
        <f>IFERROR(__xludf.DUMMYFUNCTION("""COMPUTED_VALUE"""),"")</f>
        <v/>
      </c>
      <c r="AA292" s="148" t="str">
        <f>IFERROR(__xludf.DUMMYFUNCTION("""COMPUTED_VALUE"""),"")</f>
        <v/>
      </c>
      <c r="AB292" s="148" t="str">
        <f>IFERROR(__xludf.DUMMYFUNCTION("""COMPUTED_VALUE"""),"")</f>
        <v/>
      </c>
      <c r="AC292" s="153"/>
      <c r="AD292" s="148"/>
      <c r="AE292" s="148"/>
      <c r="AF292" s="148" t="s">
        <v>613</v>
      </c>
      <c r="AG292" s="148"/>
      <c r="AH292" s="148"/>
      <c r="AI292" s="148" t="s">
        <v>614</v>
      </c>
      <c r="AJ292" s="148" t="s">
        <v>614</v>
      </c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</row>
    <row r="293" ht="14.25" customHeight="1">
      <c r="A293" s="152"/>
      <c r="B293" s="135"/>
      <c r="C293" s="77"/>
      <c r="D293" s="136"/>
      <c r="E293" s="60"/>
      <c r="F293" s="60"/>
      <c r="G293" s="62"/>
      <c r="H293" s="63"/>
      <c r="I293" s="155"/>
      <c r="J293" s="85"/>
      <c r="K293" s="80"/>
      <c r="L293" s="66"/>
      <c r="M293" s="156"/>
      <c r="N293" s="157"/>
      <c r="O293" s="69">
        <f t="shared" si="17"/>
        <v>0</v>
      </c>
      <c r="P293" s="151"/>
      <c r="Q293" s="143"/>
      <c r="R293" s="74"/>
      <c r="S293" s="158"/>
      <c r="T293" s="146">
        <f t="shared" si="14"/>
        <v>0</v>
      </c>
      <c r="U293" s="146"/>
      <c r="V293" s="147"/>
      <c r="W293" s="74" t="b">
        <v>0</v>
      </c>
      <c r="X293" s="74" t="b">
        <v>0</v>
      </c>
      <c r="Y293" s="74" t="b">
        <v>0</v>
      </c>
      <c r="Z293" s="148" t="str">
        <f>IFERROR(__xludf.DUMMYFUNCTION("""COMPUTED_VALUE"""),"")</f>
        <v/>
      </c>
      <c r="AA293" s="148" t="str">
        <f>IFERROR(__xludf.DUMMYFUNCTION("""COMPUTED_VALUE"""),"")</f>
        <v/>
      </c>
      <c r="AB293" s="148" t="str">
        <f>IFERROR(__xludf.DUMMYFUNCTION("""COMPUTED_VALUE"""),"")</f>
        <v/>
      </c>
      <c r="AC293" s="153"/>
      <c r="AD293" s="148"/>
      <c r="AE293" s="148"/>
      <c r="AF293" s="148" t="s">
        <v>613</v>
      </c>
      <c r="AG293" s="148"/>
      <c r="AH293" s="148"/>
      <c r="AI293" s="148" t="s">
        <v>614</v>
      </c>
      <c r="AJ293" s="148" t="s">
        <v>614</v>
      </c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</row>
    <row r="294" ht="14.25" customHeight="1">
      <c r="A294" s="152"/>
      <c r="B294" s="135"/>
      <c r="C294" s="77"/>
      <c r="D294" s="136"/>
      <c r="E294" s="60"/>
      <c r="F294" s="60"/>
      <c r="G294" s="62"/>
      <c r="H294" s="63"/>
      <c r="I294" s="155"/>
      <c r="J294" s="85"/>
      <c r="K294" s="80"/>
      <c r="L294" s="66"/>
      <c r="M294" s="156"/>
      <c r="N294" s="157"/>
      <c r="O294" s="69">
        <f t="shared" si="17"/>
        <v>0</v>
      </c>
      <c r="P294" s="151"/>
      <c r="Q294" s="143"/>
      <c r="R294" s="74"/>
      <c r="S294" s="158"/>
      <c r="T294" s="146">
        <f t="shared" si="14"/>
        <v>0</v>
      </c>
      <c r="U294" s="146"/>
      <c r="V294" s="147"/>
      <c r="W294" s="74" t="b">
        <v>0</v>
      </c>
      <c r="X294" s="74" t="b">
        <v>0</v>
      </c>
      <c r="Y294" s="74" t="b">
        <v>0</v>
      </c>
      <c r="Z294" s="148" t="str">
        <f>IFERROR(__xludf.DUMMYFUNCTION("""COMPUTED_VALUE"""),"")</f>
        <v/>
      </c>
      <c r="AA294" s="148" t="str">
        <f>IFERROR(__xludf.DUMMYFUNCTION("""COMPUTED_VALUE"""),"")</f>
        <v/>
      </c>
      <c r="AB294" s="148" t="str">
        <f>IFERROR(__xludf.DUMMYFUNCTION("""COMPUTED_VALUE"""),"")</f>
        <v/>
      </c>
      <c r="AC294" s="153"/>
      <c r="AD294" s="148"/>
      <c r="AE294" s="148"/>
      <c r="AF294" s="148" t="s">
        <v>613</v>
      </c>
      <c r="AG294" s="148"/>
      <c r="AH294" s="148"/>
      <c r="AI294" s="148" t="s">
        <v>614</v>
      </c>
      <c r="AJ294" s="148" t="s">
        <v>614</v>
      </c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</row>
    <row r="295" ht="14.25" customHeight="1">
      <c r="A295" s="134"/>
      <c r="B295" s="135"/>
      <c r="C295" s="58"/>
      <c r="D295" s="176"/>
      <c r="E295" s="60"/>
      <c r="F295" s="60"/>
      <c r="G295" s="177"/>
      <c r="H295" s="63"/>
      <c r="I295" s="178"/>
      <c r="J295" s="91"/>
      <c r="K295" s="65"/>
      <c r="L295" s="66"/>
      <c r="M295" s="81"/>
      <c r="N295" s="167"/>
      <c r="O295" s="69">
        <f t="shared" si="17"/>
        <v>0</v>
      </c>
      <c r="P295" s="142"/>
      <c r="Q295" s="143"/>
      <c r="R295" s="74"/>
      <c r="S295" s="158"/>
      <c r="T295" s="146">
        <f t="shared" si="14"/>
        <v>0</v>
      </c>
      <c r="U295" s="146"/>
      <c r="V295" s="147"/>
      <c r="W295" s="74" t="b">
        <v>0</v>
      </c>
      <c r="X295" s="74" t="b">
        <v>0</v>
      </c>
      <c r="Y295" s="74" t="b">
        <v>0</v>
      </c>
      <c r="Z295" s="148" t="str">
        <f>IFERROR(__xludf.DUMMYFUNCTION("""COMPUTED_VALUE"""),"")</f>
        <v/>
      </c>
      <c r="AA295" s="148" t="str">
        <f>IFERROR(__xludf.DUMMYFUNCTION("""COMPUTED_VALUE"""),"")</f>
        <v/>
      </c>
      <c r="AB295" s="148" t="str">
        <f>IFERROR(__xludf.DUMMYFUNCTION("""COMPUTED_VALUE"""),"")</f>
        <v/>
      </c>
      <c r="AC295" s="149"/>
      <c r="AD295" s="148"/>
      <c r="AE295" s="148"/>
      <c r="AF295" s="148" t="s">
        <v>613</v>
      </c>
      <c r="AG295" s="148"/>
      <c r="AH295" s="148"/>
      <c r="AI295" s="148" t="s">
        <v>614</v>
      </c>
      <c r="AJ295" s="148" t="s">
        <v>614</v>
      </c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</row>
    <row r="296" ht="14.25" customHeight="1">
      <c r="A296" s="134"/>
      <c r="B296" s="135"/>
      <c r="C296" s="58"/>
      <c r="D296" s="136"/>
      <c r="E296" s="60"/>
      <c r="F296" s="60"/>
      <c r="G296" s="90"/>
      <c r="H296" s="154"/>
      <c r="I296" s="138"/>
      <c r="J296" s="63"/>
      <c r="K296" s="65"/>
      <c r="L296" s="66"/>
      <c r="M296" s="81"/>
      <c r="N296" s="167"/>
      <c r="O296" s="69">
        <f t="shared" si="17"/>
        <v>0</v>
      </c>
      <c r="P296" s="142"/>
      <c r="Q296" s="143"/>
      <c r="R296" s="74"/>
      <c r="S296" s="158"/>
      <c r="T296" s="146">
        <f t="shared" si="14"/>
        <v>0</v>
      </c>
      <c r="U296" s="146"/>
      <c r="V296" s="147"/>
      <c r="W296" s="74" t="b">
        <v>0</v>
      </c>
      <c r="X296" s="74" t="b">
        <v>0</v>
      </c>
      <c r="Y296" s="74" t="b">
        <v>0</v>
      </c>
      <c r="Z296" s="148" t="str">
        <f>IFERROR(__xludf.DUMMYFUNCTION("""COMPUTED_VALUE"""),"")</f>
        <v/>
      </c>
      <c r="AA296" s="148" t="str">
        <f>IFERROR(__xludf.DUMMYFUNCTION("""COMPUTED_VALUE"""),"")</f>
        <v/>
      </c>
      <c r="AB296" s="148" t="str">
        <f>IFERROR(__xludf.DUMMYFUNCTION("""COMPUTED_VALUE"""),"")</f>
        <v/>
      </c>
      <c r="AC296" s="149"/>
      <c r="AD296" s="148"/>
      <c r="AE296" s="148"/>
      <c r="AF296" s="148" t="s">
        <v>613</v>
      </c>
      <c r="AG296" s="148"/>
      <c r="AH296" s="148"/>
      <c r="AI296" s="148" t="s">
        <v>614</v>
      </c>
      <c r="AJ296" s="148" t="s">
        <v>614</v>
      </c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</row>
    <row r="297" ht="14.25" customHeight="1">
      <c r="A297" s="134"/>
      <c r="B297" s="135"/>
      <c r="C297" s="58"/>
      <c r="D297" s="136"/>
      <c r="E297" s="60"/>
      <c r="F297" s="60"/>
      <c r="G297" s="90"/>
      <c r="H297" s="154"/>
      <c r="I297" s="138"/>
      <c r="J297" s="63"/>
      <c r="K297" s="65"/>
      <c r="L297" s="66"/>
      <c r="M297" s="81"/>
      <c r="N297" s="167"/>
      <c r="O297" s="69">
        <f t="shared" si="17"/>
        <v>0</v>
      </c>
      <c r="P297" s="142"/>
      <c r="Q297" s="143"/>
      <c r="R297" s="74"/>
      <c r="S297" s="158"/>
      <c r="T297" s="146">
        <f t="shared" si="14"/>
        <v>0</v>
      </c>
      <c r="U297" s="146"/>
      <c r="V297" s="147"/>
      <c r="W297" s="74" t="b">
        <v>0</v>
      </c>
      <c r="X297" s="74" t="b">
        <v>0</v>
      </c>
      <c r="Y297" s="74" t="b">
        <v>0</v>
      </c>
      <c r="Z297" s="148" t="str">
        <f>IFERROR(__xludf.DUMMYFUNCTION("""COMPUTED_VALUE"""),"")</f>
        <v/>
      </c>
      <c r="AA297" s="148" t="str">
        <f>IFERROR(__xludf.DUMMYFUNCTION("""COMPUTED_VALUE"""),"")</f>
        <v/>
      </c>
      <c r="AB297" s="148" t="str">
        <f>IFERROR(__xludf.DUMMYFUNCTION("""COMPUTED_VALUE"""),"")</f>
        <v/>
      </c>
      <c r="AC297" s="149"/>
      <c r="AD297" s="148"/>
      <c r="AE297" s="148"/>
      <c r="AF297" s="148" t="s">
        <v>613</v>
      </c>
      <c r="AG297" s="148"/>
      <c r="AH297" s="148"/>
      <c r="AI297" s="148" t="s">
        <v>614</v>
      </c>
      <c r="AJ297" s="148" t="s">
        <v>614</v>
      </c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</row>
    <row r="298" ht="14.25" customHeight="1">
      <c r="A298" s="134"/>
      <c r="B298" s="135"/>
      <c r="C298" s="58"/>
      <c r="D298" s="136"/>
      <c r="E298" s="60"/>
      <c r="F298" s="60"/>
      <c r="G298" s="90"/>
      <c r="H298" s="154"/>
      <c r="I298" s="138"/>
      <c r="J298" s="63"/>
      <c r="K298" s="65"/>
      <c r="L298" s="66"/>
      <c r="M298" s="81"/>
      <c r="N298" s="167"/>
      <c r="O298" s="87">
        <f t="shared" si="17"/>
        <v>0</v>
      </c>
      <c r="P298" s="142"/>
      <c r="Q298" s="143"/>
      <c r="R298" s="74"/>
      <c r="S298" s="158"/>
      <c r="T298" s="146">
        <f t="shared" si="14"/>
        <v>0</v>
      </c>
      <c r="U298" s="146"/>
      <c r="V298" s="147"/>
      <c r="W298" s="74" t="b">
        <v>0</v>
      </c>
      <c r="X298" s="74" t="b">
        <v>0</v>
      </c>
      <c r="Y298" s="74" t="b">
        <v>0</v>
      </c>
      <c r="Z298" s="148" t="str">
        <f>IFERROR(__xludf.DUMMYFUNCTION("""COMPUTED_VALUE"""),"")</f>
        <v/>
      </c>
      <c r="AA298" s="148" t="str">
        <f>IFERROR(__xludf.DUMMYFUNCTION("""COMPUTED_VALUE"""),"")</f>
        <v/>
      </c>
      <c r="AB298" s="148" t="str">
        <f>IFERROR(__xludf.DUMMYFUNCTION("""COMPUTED_VALUE"""),"")</f>
        <v/>
      </c>
      <c r="AC298" s="149"/>
      <c r="AD298" s="148"/>
      <c r="AE298" s="148"/>
      <c r="AF298" s="148" t="s">
        <v>613</v>
      </c>
      <c r="AG298" s="148"/>
      <c r="AH298" s="148"/>
      <c r="AI298" s="148" t="s">
        <v>614</v>
      </c>
      <c r="AJ298" s="148" t="s">
        <v>614</v>
      </c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</row>
    <row r="299" ht="14.25" customHeight="1">
      <c r="A299" s="179"/>
      <c r="B299" s="180"/>
      <c r="C299" s="181"/>
      <c r="D299" s="179"/>
      <c r="E299" s="182"/>
      <c r="F299" s="182"/>
      <c r="G299" s="180"/>
      <c r="H299" s="180"/>
      <c r="I299" s="180"/>
      <c r="J299" s="180"/>
      <c r="K299" s="183"/>
      <c r="L299" s="184"/>
      <c r="M299" s="185"/>
      <c r="N299" s="180"/>
      <c r="O299" s="69">
        <f t="shared" si="17"/>
        <v>0</v>
      </c>
      <c r="P299" s="186"/>
      <c r="Q299" s="179"/>
      <c r="R299" s="180"/>
      <c r="S299" s="187"/>
      <c r="T299" s="146">
        <f t="shared" si="14"/>
        <v>0</v>
      </c>
      <c r="U299" s="146"/>
      <c r="V299" s="188"/>
      <c r="W299" s="74" t="b">
        <v>0</v>
      </c>
      <c r="X299" s="74" t="b">
        <v>0</v>
      </c>
      <c r="Y299" s="74" t="b">
        <v>0</v>
      </c>
      <c r="Z299" s="148" t="str">
        <f>IFERROR(__xludf.DUMMYFUNCTION("""COMPUTED_VALUE"""),"")</f>
        <v/>
      </c>
      <c r="AA299" s="148" t="str">
        <f>IFERROR(__xludf.DUMMYFUNCTION("""COMPUTED_VALUE"""),"")</f>
        <v/>
      </c>
      <c r="AB299" s="148" t="str">
        <f>IFERROR(__xludf.DUMMYFUNCTION("""COMPUTED_VALUE"""),"")</f>
        <v/>
      </c>
      <c r="AC299" s="149"/>
      <c r="AD299" s="148"/>
      <c r="AE299" s="148"/>
      <c r="AF299" s="148" t="s">
        <v>613</v>
      </c>
      <c r="AG299" s="148"/>
      <c r="AH299" s="148"/>
      <c r="AI299" s="148" t="s">
        <v>614</v>
      </c>
      <c r="AJ299" s="148" t="s">
        <v>614</v>
      </c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</row>
    <row r="300" ht="14.25" customHeight="1">
      <c r="A300" s="179"/>
      <c r="B300" s="180"/>
      <c r="C300" s="181"/>
      <c r="D300" s="179"/>
      <c r="E300" s="182"/>
      <c r="F300" s="182"/>
      <c r="G300" s="180"/>
      <c r="H300" s="180"/>
      <c r="I300" s="180"/>
      <c r="J300" s="180"/>
      <c r="K300" s="183"/>
      <c r="L300" s="184"/>
      <c r="M300" s="185"/>
      <c r="N300" s="180"/>
      <c r="O300" s="69">
        <f t="shared" si="17"/>
        <v>0</v>
      </c>
      <c r="P300" s="186"/>
      <c r="Q300" s="179"/>
      <c r="R300" s="180"/>
      <c r="S300" s="187"/>
      <c r="T300" s="146">
        <f t="shared" si="14"/>
        <v>0</v>
      </c>
      <c r="U300" s="146"/>
      <c r="V300" s="188"/>
      <c r="W300" s="74" t="b">
        <v>0</v>
      </c>
      <c r="X300" s="74" t="b">
        <v>0</v>
      </c>
      <c r="Y300" s="74" t="b">
        <v>0</v>
      </c>
      <c r="Z300" s="148" t="str">
        <f>IFERROR(__xludf.DUMMYFUNCTION("""COMPUTED_VALUE"""),"")</f>
        <v/>
      </c>
      <c r="AA300" s="148" t="str">
        <f>IFERROR(__xludf.DUMMYFUNCTION("""COMPUTED_VALUE"""),"")</f>
        <v/>
      </c>
      <c r="AB300" s="148" t="str">
        <f>IFERROR(__xludf.DUMMYFUNCTION("""COMPUTED_VALUE"""),"")</f>
        <v/>
      </c>
      <c r="AC300" s="149"/>
      <c r="AD300" s="148"/>
      <c r="AE300" s="148"/>
      <c r="AF300" s="148" t="s">
        <v>613</v>
      </c>
      <c r="AG300" s="148"/>
      <c r="AH300" s="148"/>
      <c r="AI300" s="148" t="s">
        <v>614</v>
      </c>
      <c r="AJ300" s="148" t="s">
        <v>614</v>
      </c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</row>
    <row r="301" ht="14.25" customHeight="1">
      <c r="A301" s="179"/>
      <c r="B301" s="180"/>
      <c r="C301" s="181"/>
      <c r="D301" s="179"/>
      <c r="E301" s="182"/>
      <c r="F301" s="182"/>
      <c r="G301" s="180"/>
      <c r="H301" s="180"/>
      <c r="I301" s="180"/>
      <c r="J301" s="180"/>
      <c r="K301" s="183"/>
      <c r="L301" s="184"/>
      <c r="M301" s="185"/>
      <c r="N301" s="180"/>
      <c r="O301" s="69">
        <f t="shared" si="17"/>
        <v>0</v>
      </c>
      <c r="P301" s="186"/>
      <c r="Q301" s="179"/>
      <c r="R301" s="180"/>
      <c r="S301" s="187"/>
      <c r="T301" s="146">
        <f t="shared" si="14"/>
        <v>0</v>
      </c>
      <c r="U301" s="146"/>
      <c r="V301" s="188"/>
      <c r="W301" s="74" t="b">
        <v>0</v>
      </c>
      <c r="X301" s="74" t="b">
        <v>0</v>
      </c>
      <c r="Y301" s="74" t="b">
        <v>0</v>
      </c>
      <c r="Z301" s="148" t="str">
        <f>IFERROR(__xludf.DUMMYFUNCTION("""COMPUTED_VALUE"""),"")</f>
        <v/>
      </c>
      <c r="AA301" s="148" t="str">
        <f>IFERROR(__xludf.DUMMYFUNCTION("""COMPUTED_VALUE"""),"")</f>
        <v/>
      </c>
      <c r="AB301" s="148" t="str">
        <f>IFERROR(__xludf.DUMMYFUNCTION("""COMPUTED_VALUE"""),"")</f>
        <v/>
      </c>
      <c r="AC301" s="149"/>
      <c r="AD301" s="148"/>
      <c r="AE301" s="148"/>
      <c r="AF301" s="148" t="s">
        <v>613</v>
      </c>
      <c r="AG301" s="148"/>
      <c r="AH301" s="148"/>
      <c r="AI301" s="148" t="s">
        <v>614</v>
      </c>
      <c r="AJ301" s="148" t="s">
        <v>614</v>
      </c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</row>
    <row r="302" ht="14.25" customHeight="1">
      <c r="A302" s="179"/>
      <c r="B302" s="180"/>
      <c r="C302" s="181"/>
      <c r="D302" s="179"/>
      <c r="E302" s="182"/>
      <c r="F302" s="182"/>
      <c r="G302" s="180"/>
      <c r="H302" s="180"/>
      <c r="I302" s="180"/>
      <c r="J302" s="180"/>
      <c r="K302" s="183"/>
      <c r="L302" s="184"/>
      <c r="M302" s="185"/>
      <c r="N302" s="180"/>
      <c r="O302" s="69">
        <f t="shared" si="17"/>
        <v>0</v>
      </c>
      <c r="P302" s="186"/>
      <c r="Q302" s="179"/>
      <c r="R302" s="180"/>
      <c r="S302" s="187"/>
      <c r="T302" s="146">
        <f t="shared" si="14"/>
        <v>0</v>
      </c>
      <c r="U302" s="146"/>
      <c r="V302" s="188"/>
      <c r="W302" s="74" t="b">
        <v>0</v>
      </c>
      <c r="X302" s="74" t="b">
        <v>0</v>
      </c>
      <c r="Y302" s="74" t="b">
        <v>0</v>
      </c>
      <c r="Z302" s="148" t="str">
        <f>IFERROR(__xludf.DUMMYFUNCTION("""COMPUTED_VALUE"""),"")</f>
        <v/>
      </c>
      <c r="AA302" s="148" t="str">
        <f>IFERROR(__xludf.DUMMYFUNCTION("""COMPUTED_VALUE"""),"")</f>
        <v/>
      </c>
      <c r="AB302" s="148" t="str">
        <f>IFERROR(__xludf.DUMMYFUNCTION("""COMPUTED_VALUE"""),"")</f>
        <v/>
      </c>
      <c r="AC302" s="149"/>
      <c r="AD302" s="148"/>
      <c r="AE302" s="148"/>
      <c r="AF302" s="148" t="s">
        <v>613</v>
      </c>
      <c r="AG302" s="148"/>
      <c r="AH302" s="148"/>
      <c r="AI302" s="148" t="s">
        <v>614</v>
      </c>
      <c r="AJ302" s="148" t="s">
        <v>614</v>
      </c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</row>
    <row r="303" ht="14.25" customHeight="1">
      <c r="A303" s="179"/>
      <c r="B303" s="180"/>
      <c r="C303" s="181"/>
      <c r="D303" s="179"/>
      <c r="E303" s="182"/>
      <c r="F303" s="182"/>
      <c r="G303" s="180"/>
      <c r="H303" s="180"/>
      <c r="I303" s="180"/>
      <c r="J303" s="180"/>
      <c r="K303" s="183"/>
      <c r="L303" s="184"/>
      <c r="M303" s="185"/>
      <c r="N303" s="180"/>
      <c r="O303" s="69">
        <f t="shared" si="17"/>
        <v>0</v>
      </c>
      <c r="P303" s="186"/>
      <c r="Q303" s="179"/>
      <c r="R303" s="180"/>
      <c r="S303" s="187"/>
      <c r="T303" s="146">
        <f t="shared" si="14"/>
        <v>0</v>
      </c>
      <c r="U303" s="146"/>
      <c r="V303" s="188"/>
      <c r="W303" s="74" t="b">
        <v>0</v>
      </c>
      <c r="X303" s="74" t="b">
        <v>0</v>
      </c>
      <c r="Y303" s="74" t="b">
        <v>0</v>
      </c>
      <c r="Z303" s="148" t="str">
        <f>IFERROR(__xludf.DUMMYFUNCTION("""COMPUTED_VALUE"""),"")</f>
        <v/>
      </c>
      <c r="AA303" s="148" t="str">
        <f>IFERROR(__xludf.DUMMYFUNCTION("""COMPUTED_VALUE"""),"")</f>
        <v/>
      </c>
      <c r="AB303" s="148" t="str">
        <f>IFERROR(__xludf.DUMMYFUNCTION("""COMPUTED_VALUE"""),"")</f>
        <v/>
      </c>
      <c r="AC303" s="149"/>
      <c r="AD303" s="148"/>
      <c r="AE303" s="148"/>
      <c r="AF303" s="148" t="s">
        <v>613</v>
      </c>
      <c r="AG303" s="148"/>
      <c r="AH303" s="148"/>
      <c r="AI303" s="148" t="s">
        <v>614</v>
      </c>
      <c r="AJ303" s="148" t="s">
        <v>614</v>
      </c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</row>
    <row r="304" ht="14.25" customHeight="1">
      <c r="A304" s="179"/>
      <c r="B304" s="180"/>
      <c r="C304" s="181"/>
      <c r="D304" s="179"/>
      <c r="E304" s="182"/>
      <c r="F304" s="182"/>
      <c r="G304" s="180"/>
      <c r="H304" s="180"/>
      <c r="I304" s="180"/>
      <c r="J304" s="180"/>
      <c r="K304" s="183"/>
      <c r="L304" s="184"/>
      <c r="M304" s="185"/>
      <c r="N304" s="180"/>
      <c r="O304" s="69">
        <f t="shared" si="17"/>
        <v>0</v>
      </c>
      <c r="P304" s="186"/>
      <c r="Q304" s="179"/>
      <c r="R304" s="180"/>
      <c r="S304" s="187"/>
      <c r="T304" s="146">
        <f t="shared" si="14"/>
        <v>0</v>
      </c>
      <c r="U304" s="146"/>
      <c r="V304" s="188"/>
      <c r="W304" s="74" t="b">
        <v>0</v>
      </c>
      <c r="X304" s="74" t="b">
        <v>0</v>
      </c>
      <c r="Y304" s="74" t="b">
        <v>0</v>
      </c>
      <c r="Z304" s="148" t="str">
        <f>IFERROR(__xludf.DUMMYFUNCTION("""COMPUTED_VALUE"""),"")</f>
        <v/>
      </c>
      <c r="AA304" s="148" t="str">
        <f>IFERROR(__xludf.DUMMYFUNCTION("""COMPUTED_VALUE"""),"")</f>
        <v/>
      </c>
      <c r="AB304" s="148" t="str">
        <f>IFERROR(__xludf.DUMMYFUNCTION("""COMPUTED_VALUE"""),"")</f>
        <v/>
      </c>
      <c r="AC304" s="149"/>
      <c r="AD304" s="148"/>
      <c r="AE304" s="148"/>
      <c r="AF304" s="148" t="s">
        <v>613</v>
      </c>
      <c r="AG304" s="148"/>
      <c r="AH304" s="148"/>
      <c r="AI304" s="148" t="s">
        <v>614</v>
      </c>
      <c r="AJ304" s="148" t="s">
        <v>614</v>
      </c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</row>
    <row r="305" ht="14.25" customHeight="1">
      <c r="A305" s="179"/>
      <c r="B305" s="180"/>
      <c r="C305" s="181"/>
      <c r="D305" s="179"/>
      <c r="E305" s="182"/>
      <c r="F305" s="182"/>
      <c r="G305" s="180"/>
      <c r="H305" s="180"/>
      <c r="I305" s="180"/>
      <c r="J305" s="180"/>
      <c r="K305" s="183"/>
      <c r="L305" s="184"/>
      <c r="M305" s="185"/>
      <c r="N305" s="180"/>
      <c r="O305" s="69">
        <f t="shared" si="17"/>
        <v>0</v>
      </c>
      <c r="P305" s="186"/>
      <c r="Q305" s="179"/>
      <c r="R305" s="180"/>
      <c r="S305" s="187"/>
      <c r="T305" s="146">
        <f t="shared" si="14"/>
        <v>0</v>
      </c>
      <c r="U305" s="146"/>
      <c r="V305" s="188"/>
      <c r="W305" s="74" t="b">
        <v>0</v>
      </c>
      <c r="X305" s="74" t="b">
        <v>0</v>
      </c>
      <c r="Y305" s="74" t="b">
        <v>0</v>
      </c>
      <c r="Z305" s="148" t="str">
        <f>IFERROR(__xludf.DUMMYFUNCTION("""COMPUTED_VALUE"""),"")</f>
        <v/>
      </c>
      <c r="AA305" s="148" t="str">
        <f>IFERROR(__xludf.DUMMYFUNCTION("""COMPUTED_VALUE"""),"")</f>
        <v/>
      </c>
      <c r="AB305" s="148" t="str">
        <f>IFERROR(__xludf.DUMMYFUNCTION("""COMPUTED_VALUE"""),"")</f>
        <v/>
      </c>
      <c r="AC305" s="149"/>
      <c r="AD305" s="148"/>
      <c r="AE305" s="148"/>
      <c r="AF305" s="148" t="s">
        <v>613</v>
      </c>
      <c r="AG305" s="148"/>
      <c r="AH305" s="148"/>
      <c r="AI305" s="148" t="s">
        <v>614</v>
      </c>
      <c r="AJ305" s="148" t="s">
        <v>614</v>
      </c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</row>
    <row r="306" ht="14.25" customHeight="1">
      <c r="A306" s="179"/>
      <c r="B306" s="180"/>
      <c r="C306" s="181"/>
      <c r="D306" s="179"/>
      <c r="E306" s="182"/>
      <c r="F306" s="182"/>
      <c r="G306" s="180"/>
      <c r="H306" s="180"/>
      <c r="I306" s="180"/>
      <c r="J306" s="180"/>
      <c r="K306" s="183"/>
      <c r="L306" s="184"/>
      <c r="M306" s="185"/>
      <c r="N306" s="180"/>
      <c r="O306" s="69">
        <f t="shared" si="17"/>
        <v>0</v>
      </c>
      <c r="P306" s="186"/>
      <c r="Q306" s="179"/>
      <c r="R306" s="180"/>
      <c r="S306" s="187"/>
      <c r="T306" s="146">
        <f t="shared" si="14"/>
        <v>0</v>
      </c>
      <c r="U306" s="146"/>
      <c r="V306" s="188"/>
      <c r="W306" s="74" t="b">
        <v>0</v>
      </c>
      <c r="X306" s="74" t="b">
        <v>0</v>
      </c>
      <c r="Y306" s="74" t="b">
        <v>0</v>
      </c>
      <c r="Z306" s="148" t="str">
        <f>IFERROR(__xludf.DUMMYFUNCTION("""COMPUTED_VALUE"""),"")</f>
        <v/>
      </c>
      <c r="AA306" s="148" t="str">
        <f>IFERROR(__xludf.DUMMYFUNCTION("""COMPUTED_VALUE"""),"")</f>
        <v/>
      </c>
      <c r="AB306" s="148" t="str">
        <f>IFERROR(__xludf.DUMMYFUNCTION("""COMPUTED_VALUE"""),"")</f>
        <v/>
      </c>
      <c r="AC306" s="149"/>
      <c r="AD306" s="148"/>
      <c r="AE306" s="148"/>
      <c r="AF306" s="148" t="s">
        <v>613</v>
      </c>
      <c r="AG306" s="148"/>
      <c r="AH306" s="148"/>
      <c r="AI306" s="148" t="s">
        <v>614</v>
      </c>
      <c r="AJ306" s="148" t="s">
        <v>614</v>
      </c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</row>
    <row r="307" ht="14.25" customHeight="1">
      <c r="A307" s="179"/>
      <c r="B307" s="180"/>
      <c r="C307" s="181"/>
      <c r="D307" s="179"/>
      <c r="E307" s="182"/>
      <c r="F307" s="182"/>
      <c r="G307" s="180"/>
      <c r="H307" s="180"/>
      <c r="I307" s="180"/>
      <c r="J307" s="180"/>
      <c r="K307" s="183"/>
      <c r="L307" s="184"/>
      <c r="M307" s="185"/>
      <c r="N307" s="180"/>
      <c r="O307" s="69">
        <f t="shared" si="17"/>
        <v>0</v>
      </c>
      <c r="P307" s="186"/>
      <c r="Q307" s="179"/>
      <c r="R307" s="180"/>
      <c r="S307" s="187"/>
      <c r="T307" s="146">
        <f t="shared" si="14"/>
        <v>0</v>
      </c>
      <c r="U307" s="146"/>
      <c r="V307" s="188"/>
      <c r="W307" s="74" t="b">
        <v>0</v>
      </c>
      <c r="X307" s="74" t="b">
        <v>0</v>
      </c>
      <c r="Y307" s="74" t="b">
        <v>0</v>
      </c>
      <c r="Z307" s="148" t="str">
        <f>IFERROR(__xludf.DUMMYFUNCTION("""COMPUTED_VALUE"""),"")</f>
        <v/>
      </c>
      <c r="AA307" s="148" t="str">
        <f>IFERROR(__xludf.DUMMYFUNCTION("""COMPUTED_VALUE"""),"")</f>
        <v/>
      </c>
      <c r="AB307" s="148" t="str">
        <f>IFERROR(__xludf.DUMMYFUNCTION("""COMPUTED_VALUE"""),"")</f>
        <v/>
      </c>
      <c r="AC307" s="149"/>
      <c r="AD307" s="148"/>
      <c r="AE307" s="148"/>
      <c r="AF307" s="148" t="s">
        <v>613</v>
      </c>
      <c r="AG307" s="148"/>
      <c r="AH307" s="148"/>
      <c r="AI307" s="148" t="s">
        <v>614</v>
      </c>
      <c r="AJ307" s="148" t="s">
        <v>614</v>
      </c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</row>
    <row r="308" ht="14.25" customHeight="1">
      <c r="A308" s="179"/>
      <c r="B308" s="180"/>
      <c r="C308" s="181"/>
      <c r="D308" s="179"/>
      <c r="E308" s="182"/>
      <c r="F308" s="182"/>
      <c r="G308" s="180"/>
      <c r="H308" s="180"/>
      <c r="I308" s="180"/>
      <c r="J308" s="180"/>
      <c r="K308" s="183"/>
      <c r="L308" s="184"/>
      <c r="M308" s="185"/>
      <c r="N308" s="180"/>
      <c r="O308" s="69">
        <f t="shared" si="17"/>
        <v>0</v>
      </c>
      <c r="P308" s="186"/>
      <c r="Q308" s="179"/>
      <c r="R308" s="180"/>
      <c r="S308" s="187"/>
      <c r="T308" s="146">
        <f t="shared" si="14"/>
        <v>0</v>
      </c>
      <c r="U308" s="146"/>
      <c r="V308" s="188"/>
      <c r="W308" s="74" t="b">
        <v>0</v>
      </c>
      <c r="X308" s="74" t="b">
        <v>0</v>
      </c>
      <c r="Y308" s="74" t="b">
        <v>0</v>
      </c>
      <c r="Z308" s="148" t="str">
        <f>IFERROR(__xludf.DUMMYFUNCTION("""COMPUTED_VALUE"""),"")</f>
        <v/>
      </c>
      <c r="AA308" s="148" t="str">
        <f>IFERROR(__xludf.DUMMYFUNCTION("""COMPUTED_VALUE"""),"")</f>
        <v/>
      </c>
      <c r="AB308" s="148" t="str">
        <f>IFERROR(__xludf.DUMMYFUNCTION("""COMPUTED_VALUE"""),"")</f>
        <v/>
      </c>
      <c r="AC308" s="149"/>
      <c r="AD308" s="148"/>
      <c r="AE308" s="148"/>
      <c r="AF308" s="148" t="s">
        <v>613</v>
      </c>
      <c r="AG308" s="148"/>
      <c r="AH308" s="148"/>
      <c r="AI308" s="148" t="s">
        <v>614</v>
      </c>
      <c r="AJ308" s="148" t="s">
        <v>614</v>
      </c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</row>
    <row r="309" ht="14.25" customHeight="1">
      <c r="A309" s="179"/>
      <c r="B309" s="180"/>
      <c r="C309" s="181"/>
      <c r="D309" s="179"/>
      <c r="E309" s="182"/>
      <c r="F309" s="182"/>
      <c r="G309" s="180"/>
      <c r="H309" s="180"/>
      <c r="I309" s="180"/>
      <c r="J309" s="180"/>
      <c r="K309" s="183"/>
      <c r="L309" s="184"/>
      <c r="M309" s="185"/>
      <c r="N309" s="180"/>
      <c r="O309" s="69">
        <f t="shared" si="17"/>
        <v>0</v>
      </c>
      <c r="P309" s="186"/>
      <c r="Q309" s="179"/>
      <c r="R309" s="180"/>
      <c r="S309" s="187"/>
      <c r="T309" s="146">
        <f t="shared" si="14"/>
        <v>0</v>
      </c>
      <c r="U309" s="146"/>
      <c r="V309" s="188"/>
      <c r="W309" s="74" t="b">
        <v>0</v>
      </c>
      <c r="X309" s="74" t="b">
        <v>0</v>
      </c>
      <c r="Y309" s="74" t="b">
        <v>0</v>
      </c>
      <c r="Z309" s="148" t="str">
        <f>IFERROR(__xludf.DUMMYFUNCTION("""COMPUTED_VALUE"""),"")</f>
        <v/>
      </c>
      <c r="AA309" s="148" t="str">
        <f>IFERROR(__xludf.DUMMYFUNCTION("""COMPUTED_VALUE"""),"")</f>
        <v/>
      </c>
      <c r="AB309" s="148" t="str">
        <f>IFERROR(__xludf.DUMMYFUNCTION("""COMPUTED_VALUE"""),"")</f>
        <v/>
      </c>
      <c r="AC309" s="149"/>
      <c r="AD309" s="148"/>
      <c r="AE309" s="148"/>
      <c r="AF309" s="148" t="s">
        <v>613</v>
      </c>
      <c r="AG309" s="148"/>
      <c r="AH309" s="148"/>
      <c r="AI309" s="148" t="s">
        <v>614</v>
      </c>
      <c r="AJ309" s="148" t="s">
        <v>614</v>
      </c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</row>
    <row r="310" ht="14.25" customHeight="1">
      <c r="A310" s="179"/>
      <c r="B310" s="180"/>
      <c r="C310" s="181"/>
      <c r="D310" s="179"/>
      <c r="E310" s="182"/>
      <c r="F310" s="182"/>
      <c r="G310" s="180"/>
      <c r="H310" s="180"/>
      <c r="I310" s="180"/>
      <c r="J310" s="180"/>
      <c r="K310" s="183"/>
      <c r="L310" s="184"/>
      <c r="M310" s="185"/>
      <c r="N310" s="180"/>
      <c r="O310" s="69">
        <f t="shared" si="17"/>
        <v>0</v>
      </c>
      <c r="P310" s="186"/>
      <c r="Q310" s="179"/>
      <c r="R310" s="180"/>
      <c r="S310" s="187"/>
      <c r="T310" s="146">
        <f t="shared" si="14"/>
        <v>0</v>
      </c>
      <c r="U310" s="146"/>
      <c r="V310" s="188"/>
      <c r="W310" s="74" t="b">
        <v>0</v>
      </c>
      <c r="X310" s="74" t="b">
        <v>0</v>
      </c>
      <c r="Y310" s="74" t="b">
        <v>0</v>
      </c>
      <c r="Z310" s="148" t="str">
        <f>IFERROR(__xludf.DUMMYFUNCTION("""COMPUTED_VALUE"""),"")</f>
        <v/>
      </c>
      <c r="AA310" s="148" t="str">
        <f>IFERROR(__xludf.DUMMYFUNCTION("""COMPUTED_VALUE"""),"")</f>
        <v/>
      </c>
      <c r="AB310" s="148" t="str">
        <f>IFERROR(__xludf.DUMMYFUNCTION("""COMPUTED_VALUE"""),"")</f>
        <v/>
      </c>
      <c r="AC310" s="149"/>
      <c r="AD310" s="148"/>
      <c r="AE310" s="148"/>
      <c r="AF310" s="148" t="s">
        <v>613</v>
      </c>
      <c r="AG310" s="148"/>
      <c r="AH310" s="148"/>
      <c r="AI310" s="148" t="s">
        <v>614</v>
      </c>
      <c r="AJ310" s="148" t="s">
        <v>614</v>
      </c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</row>
    <row r="311" ht="14.25" customHeight="1">
      <c r="A311" s="179"/>
      <c r="B311" s="180"/>
      <c r="C311" s="181"/>
      <c r="D311" s="179"/>
      <c r="E311" s="182"/>
      <c r="F311" s="182"/>
      <c r="G311" s="180"/>
      <c r="H311" s="180"/>
      <c r="I311" s="180"/>
      <c r="J311" s="180"/>
      <c r="K311" s="183"/>
      <c r="L311" s="184"/>
      <c r="M311" s="185"/>
      <c r="N311" s="180"/>
      <c r="O311" s="69">
        <f t="shared" si="17"/>
        <v>0</v>
      </c>
      <c r="P311" s="186"/>
      <c r="Q311" s="179"/>
      <c r="R311" s="180"/>
      <c r="S311" s="187"/>
      <c r="T311" s="146">
        <f t="shared" si="14"/>
        <v>0</v>
      </c>
      <c r="U311" s="146"/>
      <c r="V311" s="188"/>
      <c r="W311" s="74" t="b">
        <v>0</v>
      </c>
      <c r="X311" s="74" t="b">
        <v>0</v>
      </c>
      <c r="Y311" s="74" t="b">
        <v>0</v>
      </c>
      <c r="Z311" s="148" t="str">
        <f>IFERROR(__xludf.DUMMYFUNCTION("""COMPUTED_VALUE"""),"")</f>
        <v/>
      </c>
      <c r="AA311" s="148" t="str">
        <f>IFERROR(__xludf.DUMMYFUNCTION("""COMPUTED_VALUE"""),"")</f>
        <v/>
      </c>
      <c r="AB311" s="148" t="str">
        <f>IFERROR(__xludf.DUMMYFUNCTION("""COMPUTED_VALUE"""),"")</f>
        <v/>
      </c>
      <c r="AC311" s="149"/>
      <c r="AD311" s="148"/>
      <c r="AE311" s="148"/>
      <c r="AF311" s="148" t="s">
        <v>613</v>
      </c>
      <c r="AG311" s="148"/>
      <c r="AH311" s="148"/>
      <c r="AI311" s="148" t="s">
        <v>614</v>
      </c>
      <c r="AJ311" s="148" t="s">
        <v>614</v>
      </c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</row>
    <row r="312" ht="14.25" customHeight="1">
      <c r="A312" s="179"/>
      <c r="B312" s="180"/>
      <c r="C312" s="181"/>
      <c r="D312" s="179"/>
      <c r="E312" s="182"/>
      <c r="F312" s="182"/>
      <c r="G312" s="180"/>
      <c r="H312" s="180"/>
      <c r="I312" s="180"/>
      <c r="J312" s="180"/>
      <c r="K312" s="183"/>
      <c r="L312" s="184"/>
      <c r="M312" s="185"/>
      <c r="N312" s="180"/>
      <c r="O312" s="69">
        <f t="shared" si="17"/>
        <v>0</v>
      </c>
      <c r="P312" s="186"/>
      <c r="Q312" s="179"/>
      <c r="R312" s="180"/>
      <c r="S312" s="187"/>
      <c r="T312" s="146">
        <f t="shared" si="14"/>
        <v>0</v>
      </c>
      <c r="U312" s="146"/>
      <c r="V312" s="188"/>
      <c r="W312" s="74" t="b">
        <v>0</v>
      </c>
      <c r="X312" s="74" t="b">
        <v>0</v>
      </c>
      <c r="Y312" s="74" t="b">
        <v>0</v>
      </c>
      <c r="Z312" s="148" t="str">
        <f>IFERROR(__xludf.DUMMYFUNCTION("""COMPUTED_VALUE"""),"")</f>
        <v/>
      </c>
      <c r="AA312" s="148" t="str">
        <f>IFERROR(__xludf.DUMMYFUNCTION("""COMPUTED_VALUE"""),"")</f>
        <v/>
      </c>
      <c r="AB312" s="148" t="str">
        <f>IFERROR(__xludf.DUMMYFUNCTION("""COMPUTED_VALUE"""),"")</f>
        <v/>
      </c>
      <c r="AC312" s="149"/>
      <c r="AD312" s="148"/>
      <c r="AE312" s="148"/>
      <c r="AF312" s="148" t="s">
        <v>613</v>
      </c>
      <c r="AG312" s="148"/>
      <c r="AH312" s="148"/>
      <c r="AI312" s="148" t="s">
        <v>614</v>
      </c>
      <c r="AJ312" s="148" t="s">
        <v>614</v>
      </c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</row>
    <row r="313" ht="14.25" customHeight="1">
      <c r="A313" s="179"/>
      <c r="B313" s="180"/>
      <c r="C313" s="181"/>
      <c r="D313" s="179"/>
      <c r="E313" s="182"/>
      <c r="F313" s="182"/>
      <c r="G313" s="180"/>
      <c r="H313" s="180"/>
      <c r="I313" s="180"/>
      <c r="J313" s="180"/>
      <c r="K313" s="183"/>
      <c r="L313" s="184"/>
      <c r="M313" s="185"/>
      <c r="N313" s="180"/>
      <c r="O313" s="69">
        <f t="shared" si="17"/>
        <v>0</v>
      </c>
      <c r="P313" s="186"/>
      <c r="Q313" s="179"/>
      <c r="R313" s="180"/>
      <c r="S313" s="187"/>
      <c r="T313" s="146">
        <f t="shared" si="14"/>
        <v>0</v>
      </c>
      <c r="U313" s="146"/>
      <c r="V313" s="188"/>
      <c r="W313" s="74" t="b">
        <v>0</v>
      </c>
      <c r="X313" s="74" t="b">
        <v>0</v>
      </c>
      <c r="Y313" s="74" t="b">
        <v>0</v>
      </c>
      <c r="Z313" s="148" t="str">
        <f>IFERROR(__xludf.DUMMYFUNCTION("""COMPUTED_VALUE"""),"")</f>
        <v/>
      </c>
      <c r="AA313" s="148" t="str">
        <f>IFERROR(__xludf.DUMMYFUNCTION("""COMPUTED_VALUE"""),"")</f>
        <v/>
      </c>
      <c r="AB313" s="148" t="str">
        <f>IFERROR(__xludf.DUMMYFUNCTION("""COMPUTED_VALUE"""),"")</f>
        <v/>
      </c>
      <c r="AC313" s="149"/>
      <c r="AD313" s="148"/>
      <c r="AE313" s="148"/>
      <c r="AF313" s="148" t="s">
        <v>613</v>
      </c>
      <c r="AG313" s="148"/>
      <c r="AH313" s="148"/>
      <c r="AI313" s="148" t="s">
        <v>614</v>
      </c>
      <c r="AJ313" s="148" t="s">
        <v>614</v>
      </c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</row>
    <row r="314" ht="14.25" customHeight="1">
      <c r="A314" s="179"/>
      <c r="B314" s="180"/>
      <c r="C314" s="181"/>
      <c r="D314" s="179"/>
      <c r="E314" s="182"/>
      <c r="F314" s="182"/>
      <c r="G314" s="180"/>
      <c r="H314" s="180"/>
      <c r="I314" s="180"/>
      <c r="J314" s="180"/>
      <c r="K314" s="183"/>
      <c r="L314" s="184"/>
      <c r="M314" s="185"/>
      <c r="N314" s="180"/>
      <c r="O314" s="69">
        <f t="shared" si="17"/>
        <v>0</v>
      </c>
      <c r="P314" s="186"/>
      <c r="Q314" s="179"/>
      <c r="R314" s="180"/>
      <c r="S314" s="187"/>
      <c r="T314" s="146">
        <f t="shared" si="14"/>
        <v>0</v>
      </c>
      <c r="U314" s="146"/>
      <c r="V314" s="188"/>
      <c r="W314" s="74" t="b">
        <v>0</v>
      </c>
      <c r="X314" s="74" t="b">
        <v>0</v>
      </c>
      <c r="Y314" s="74" t="b">
        <v>0</v>
      </c>
      <c r="Z314" s="148" t="str">
        <f>IFERROR(__xludf.DUMMYFUNCTION("""COMPUTED_VALUE"""),"")</f>
        <v/>
      </c>
      <c r="AA314" s="148" t="str">
        <f>IFERROR(__xludf.DUMMYFUNCTION("""COMPUTED_VALUE"""),"")</f>
        <v/>
      </c>
      <c r="AB314" s="148" t="str">
        <f>IFERROR(__xludf.DUMMYFUNCTION("""COMPUTED_VALUE"""),"")</f>
        <v/>
      </c>
      <c r="AC314" s="149"/>
      <c r="AD314" s="148"/>
      <c r="AE314" s="148"/>
      <c r="AF314" s="148" t="s">
        <v>613</v>
      </c>
      <c r="AG314" s="148"/>
      <c r="AH314" s="148"/>
      <c r="AI314" s="148" t="s">
        <v>614</v>
      </c>
      <c r="AJ314" s="148" t="s">
        <v>614</v>
      </c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</row>
    <row r="315" ht="14.25" customHeight="1">
      <c r="A315" s="179"/>
      <c r="B315" s="180"/>
      <c r="C315" s="181"/>
      <c r="D315" s="179"/>
      <c r="E315" s="182"/>
      <c r="F315" s="182"/>
      <c r="G315" s="180"/>
      <c r="H315" s="180"/>
      <c r="I315" s="180"/>
      <c r="J315" s="180"/>
      <c r="K315" s="183"/>
      <c r="L315" s="184"/>
      <c r="M315" s="185"/>
      <c r="N315" s="180"/>
      <c r="O315" s="69">
        <f t="shared" si="17"/>
        <v>0</v>
      </c>
      <c r="P315" s="186"/>
      <c r="Q315" s="179"/>
      <c r="R315" s="180"/>
      <c r="S315" s="187"/>
      <c r="T315" s="146">
        <f t="shared" si="14"/>
        <v>0</v>
      </c>
      <c r="U315" s="146"/>
      <c r="V315" s="188"/>
      <c r="W315" s="74" t="b">
        <v>0</v>
      </c>
      <c r="X315" s="74" t="b">
        <v>0</v>
      </c>
      <c r="Y315" s="74" t="b">
        <v>0</v>
      </c>
      <c r="Z315" s="148" t="str">
        <f>IFERROR(__xludf.DUMMYFUNCTION("""COMPUTED_VALUE"""),"")</f>
        <v/>
      </c>
      <c r="AA315" s="148" t="str">
        <f>IFERROR(__xludf.DUMMYFUNCTION("""COMPUTED_VALUE"""),"")</f>
        <v/>
      </c>
      <c r="AB315" s="148" t="str">
        <f>IFERROR(__xludf.DUMMYFUNCTION("""COMPUTED_VALUE"""),"")</f>
        <v/>
      </c>
      <c r="AC315" s="149"/>
      <c r="AD315" s="148"/>
      <c r="AE315" s="148"/>
      <c r="AF315" s="148" t="s">
        <v>613</v>
      </c>
      <c r="AG315" s="148"/>
      <c r="AH315" s="148"/>
      <c r="AI315" s="148" t="s">
        <v>614</v>
      </c>
      <c r="AJ315" s="148" t="s">
        <v>614</v>
      </c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</row>
    <row r="316" ht="14.25" customHeight="1">
      <c r="A316" s="179"/>
      <c r="B316" s="180"/>
      <c r="C316" s="181"/>
      <c r="D316" s="179"/>
      <c r="E316" s="182"/>
      <c r="F316" s="182"/>
      <c r="G316" s="180"/>
      <c r="H316" s="180"/>
      <c r="I316" s="180"/>
      <c r="J316" s="180"/>
      <c r="K316" s="183"/>
      <c r="L316" s="184"/>
      <c r="M316" s="185"/>
      <c r="N316" s="180"/>
      <c r="O316" s="69">
        <f t="shared" si="17"/>
        <v>0</v>
      </c>
      <c r="P316" s="186"/>
      <c r="Q316" s="179"/>
      <c r="R316" s="180"/>
      <c r="S316" s="187"/>
      <c r="T316" s="146">
        <f t="shared" si="14"/>
        <v>0</v>
      </c>
      <c r="U316" s="146"/>
      <c r="V316" s="188"/>
      <c r="W316" s="74" t="b">
        <v>0</v>
      </c>
      <c r="X316" s="74" t="b">
        <v>0</v>
      </c>
      <c r="Y316" s="74" t="b">
        <v>0</v>
      </c>
      <c r="Z316" s="148" t="str">
        <f>IFERROR(__xludf.DUMMYFUNCTION("""COMPUTED_VALUE"""),"")</f>
        <v/>
      </c>
      <c r="AA316" s="148" t="str">
        <f>IFERROR(__xludf.DUMMYFUNCTION("""COMPUTED_VALUE"""),"")</f>
        <v/>
      </c>
      <c r="AB316" s="148" t="str">
        <f>IFERROR(__xludf.DUMMYFUNCTION("""COMPUTED_VALUE"""),"")</f>
        <v/>
      </c>
      <c r="AC316" s="149"/>
      <c r="AD316" s="148"/>
      <c r="AE316" s="148"/>
      <c r="AF316" s="148" t="s">
        <v>613</v>
      </c>
      <c r="AG316" s="148"/>
      <c r="AH316" s="148"/>
      <c r="AI316" s="148" t="s">
        <v>614</v>
      </c>
      <c r="AJ316" s="148" t="s">
        <v>614</v>
      </c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</row>
    <row r="317" ht="14.25" customHeight="1">
      <c r="A317" s="179"/>
      <c r="B317" s="180"/>
      <c r="C317" s="181"/>
      <c r="D317" s="179"/>
      <c r="E317" s="182"/>
      <c r="F317" s="182"/>
      <c r="G317" s="180"/>
      <c r="H317" s="180"/>
      <c r="I317" s="180"/>
      <c r="J317" s="180"/>
      <c r="K317" s="183"/>
      <c r="L317" s="184"/>
      <c r="M317" s="185"/>
      <c r="N317" s="180"/>
      <c r="O317" s="69">
        <f t="shared" si="17"/>
        <v>0</v>
      </c>
      <c r="P317" s="186"/>
      <c r="Q317" s="179"/>
      <c r="R317" s="180"/>
      <c r="S317" s="187"/>
      <c r="T317" s="146">
        <f t="shared" si="14"/>
        <v>0</v>
      </c>
      <c r="U317" s="146"/>
      <c r="V317" s="188"/>
      <c r="W317" s="74" t="b">
        <v>0</v>
      </c>
      <c r="X317" s="74" t="b">
        <v>0</v>
      </c>
      <c r="Y317" s="74" t="b">
        <v>0</v>
      </c>
      <c r="Z317" s="148" t="str">
        <f>IFERROR(__xludf.DUMMYFUNCTION("""COMPUTED_VALUE"""),"")</f>
        <v/>
      </c>
      <c r="AA317" s="148" t="str">
        <f>IFERROR(__xludf.DUMMYFUNCTION("""COMPUTED_VALUE"""),"")</f>
        <v/>
      </c>
      <c r="AB317" s="148" t="str">
        <f>IFERROR(__xludf.DUMMYFUNCTION("""COMPUTED_VALUE"""),"")</f>
        <v/>
      </c>
      <c r="AC317" s="149"/>
      <c r="AD317" s="148"/>
      <c r="AE317" s="148"/>
      <c r="AF317" s="148" t="s">
        <v>613</v>
      </c>
      <c r="AG317" s="148"/>
      <c r="AH317" s="148"/>
      <c r="AI317" s="148" t="s">
        <v>614</v>
      </c>
      <c r="AJ317" s="148" t="s">
        <v>614</v>
      </c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</row>
    <row r="318" ht="14.25" customHeight="1">
      <c r="A318" s="179"/>
      <c r="B318" s="180"/>
      <c r="C318" s="181"/>
      <c r="D318" s="179"/>
      <c r="E318" s="182"/>
      <c r="F318" s="182"/>
      <c r="G318" s="180"/>
      <c r="H318" s="180"/>
      <c r="I318" s="180"/>
      <c r="J318" s="180"/>
      <c r="K318" s="183"/>
      <c r="L318" s="184"/>
      <c r="M318" s="185"/>
      <c r="N318" s="180"/>
      <c r="O318" s="69">
        <f t="shared" si="17"/>
        <v>0</v>
      </c>
      <c r="P318" s="186"/>
      <c r="Q318" s="179"/>
      <c r="R318" s="180"/>
      <c r="S318" s="187"/>
      <c r="T318" s="146">
        <f t="shared" si="14"/>
        <v>0</v>
      </c>
      <c r="U318" s="146"/>
      <c r="V318" s="188"/>
      <c r="W318" s="74" t="b">
        <v>0</v>
      </c>
      <c r="X318" s="74" t="b">
        <v>0</v>
      </c>
      <c r="Y318" s="74" t="b">
        <v>0</v>
      </c>
      <c r="Z318" s="148" t="str">
        <f>IFERROR(__xludf.DUMMYFUNCTION("""COMPUTED_VALUE"""),"")</f>
        <v/>
      </c>
      <c r="AA318" s="148" t="str">
        <f>IFERROR(__xludf.DUMMYFUNCTION("""COMPUTED_VALUE"""),"")</f>
        <v/>
      </c>
      <c r="AB318" s="148" t="str">
        <f>IFERROR(__xludf.DUMMYFUNCTION("""COMPUTED_VALUE"""),"")</f>
        <v/>
      </c>
      <c r="AC318" s="149"/>
      <c r="AD318" s="148"/>
      <c r="AE318" s="148"/>
      <c r="AF318" s="148" t="s">
        <v>613</v>
      </c>
      <c r="AG318" s="148"/>
      <c r="AH318" s="148"/>
      <c r="AI318" s="148" t="s">
        <v>614</v>
      </c>
      <c r="AJ318" s="148" t="s">
        <v>614</v>
      </c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</row>
    <row r="319" ht="14.25" customHeight="1">
      <c r="A319" s="179"/>
      <c r="B319" s="180"/>
      <c r="C319" s="181"/>
      <c r="D319" s="179"/>
      <c r="E319" s="182"/>
      <c r="F319" s="182"/>
      <c r="G319" s="180"/>
      <c r="H319" s="180"/>
      <c r="I319" s="180"/>
      <c r="J319" s="180"/>
      <c r="K319" s="183"/>
      <c r="L319" s="184"/>
      <c r="M319" s="185"/>
      <c r="N319" s="180"/>
      <c r="O319" s="69">
        <f t="shared" si="17"/>
        <v>0</v>
      </c>
      <c r="P319" s="186"/>
      <c r="Q319" s="179"/>
      <c r="R319" s="180"/>
      <c r="S319" s="187"/>
      <c r="T319" s="146">
        <f t="shared" si="14"/>
        <v>0</v>
      </c>
      <c r="U319" s="146"/>
      <c r="V319" s="188"/>
      <c r="W319" s="74" t="b">
        <v>0</v>
      </c>
      <c r="X319" s="74" t="b">
        <v>0</v>
      </c>
      <c r="Y319" s="74" t="b">
        <v>0</v>
      </c>
      <c r="Z319" s="148" t="str">
        <f>IFERROR(__xludf.DUMMYFUNCTION("""COMPUTED_VALUE"""),"")</f>
        <v/>
      </c>
      <c r="AA319" s="148" t="str">
        <f>IFERROR(__xludf.DUMMYFUNCTION("""COMPUTED_VALUE"""),"")</f>
        <v/>
      </c>
      <c r="AB319" s="148" t="str">
        <f>IFERROR(__xludf.DUMMYFUNCTION("""COMPUTED_VALUE"""),"")</f>
        <v/>
      </c>
      <c r="AC319" s="149"/>
      <c r="AD319" s="148"/>
      <c r="AE319" s="148"/>
      <c r="AF319" s="148" t="s">
        <v>613</v>
      </c>
      <c r="AG319" s="148"/>
      <c r="AH319" s="148"/>
      <c r="AI319" s="148" t="s">
        <v>614</v>
      </c>
      <c r="AJ319" s="148" t="s">
        <v>614</v>
      </c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</row>
    <row r="320" ht="14.25" customHeight="1">
      <c r="A320" s="179"/>
      <c r="B320" s="180"/>
      <c r="C320" s="181"/>
      <c r="D320" s="179"/>
      <c r="E320" s="182"/>
      <c r="F320" s="182"/>
      <c r="G320" s="180"/>
      <c r="H320" s="180"/>
      <c r="I320" s="180"/>
      <c r="J320" s="180"/>
      <c r="K320" s="183"/>
      <c r="L320" s="184"/>
      <c r="M320" s="185"/>
      <c r="N320" s="180"/>
      <c r="O320" s="69">
        <f t="shared" si="17"/>
        <v>0</v>
      </c>
      <c r="P320" s="186"/>
      <c r="Q320" s="179"/>
      <c r="R320" s="180"/>
      <c r="S320" s="187"/>
      <c r="T320" s="146">
        <f t="shared" si="14"/>
        <v>0</v>
      </c>
      <c r="U320" s="146"/>
      <c r="V320" s="188"/>
      <c r="W320" s="180"/>
      <c r="X320" s="180"/>
      <c r="Y320" s="180"/>
      <c r="Z320" s="148" t="str">
        <f>IFERROR(__xludf.DUMMYFUNCTION("""COMPUTED_VALUE"""),"")</f>
        <v/>
      </c>
      <c r="AA320" s="148" t="str">
        <f>IFERROR(__xludf.DUMMYFUNCTION("""COMPUTED_VALUE"""),"")</f>
        <v/>
      </c>
      <c r="AB320" s="148" t="str">
        <f>IFERROR(__xludf.DUMMYFUNCTION("""COMPUTED_VALUE"""),"")</f>
        <v/>
      </c>
      <c r="AC320" s="149"/>
      <c r="AD320" s="148"/>
      <c r="AE320" s="148"/>
      <c r="AF320" s="148" t="s">
        <v>613</v>
      </c>
      <c r="AG320" s="148"/>
      <c r="AH320" s="148"/>
      <c r="AI320" s="148" t="s">
        <v>614</v>
      </c>
      <c r="AJ320" s="148" t="s">
        <v>614</v>
      </c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</row>
    <row r="321" ht="14.25" customHeight="1">
      <c r="A321" s="179"/>
      <c r="B321" s="180"/>
      <c r="C321" s="181"/>
      <c r="D321" s="179"/>
      <c r="E321" s="182"/>
      <c r="F321" s="182"/>
      <c r="G321" s="180"/>
      <c r="H321" s="180"/>
      <c r="I321" s="180"/>
      <c r="J321" s="180"/>
      <c r="K321" s="183"/>
      <c r="L321" s="184"/>
      <c r="M321" s="185"/>
      <c r="N321" s="180"/>
      <c r="O321" s="69">
        <f t="shared" si="17"/>
        <v>0</v>
      </c>
      <c r="P321" s="186"/>
      <c r="Q321" s="179"/>
      <c r="R321" s="180"/>
      <c r="S321" s="187"/>
      <c r="T321" s="146">
        <f t="shared" si="14"/>
        <v>0</v>
      </c>
      <c r="U321" s="146"/>
      <c r="V321" s="188"/>
      <c r="W321" s="180"/>
      <c r="X321" s="180"/>
      <c r="Y321" s="180"/>
      <c r="Z321" s="148" t="str">
        <f>IFERROR(__xludf.DUMMYFUNCTION("""COMPUTED_VALUE"""),"")</f>
        <v/>
      </c>
      <c r="AA321" s="148" t="str">
        <f>IFERROR(__xludf.DUMMYFUNCTION("""COMPUTED_VALUE"""),"")</f>
        <v/>
      </c>
      <c r="AB321" s="148" t="str">
        <f>IFERROR(__xludf.DUMMYFUNCTION("""COMPUTED_VALUE"""),"")</f>
        <v/>
      </c>
      <c r="AC321" s="149"/>
      <c r="AD321" s="148"/>
      <c r="AE321" s="148"/>
      <c r="AF321" s="148" t="s">
        <v>613</v>
      </c>
      <c r="AG321" s="148"/>
      <c r="AH321" s="148"/>
      <c r="AI321" s="148" t="s">
        <v>614</v>
      </c>
      <c r="AJ321" s="148" t="s">
        <v>614</v>
      </c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</row>
    <row r="322" ht="14.25" customHeight="1">
      <c r="A322" s="179"/>
      <c r="B322" s="180"/>
      <c r="C322" s="181"/>
      <c r="D322" s="179"/>
      <c r="E322" s="182"/>
      <c r="F322" s="182"/>
      <c r="G322" s="180"/>
      <c r="H322" s="180"/>
      <c r="I322" s="180"/>
      <c r="J322" s="180"/>
      <c r="K322" s="183"/>
      <c r="L322" s="184"/>
      <c r="M322" s="185"/>
      <c r="N322" s="180"/>
      <c r="O322" s="69">
        <f t="shared" si="17"/>
        <v>0</v>
      </c>
      <c r="P322" s="186"/>
      <c r="Q322" s="179"/>
      <c r="R322" s="180"/>
      <c r="S322" s="187"/>
      <c r="T322" s="146">
        <f t="shared" si="14"/>
        <v>0</v>
      </c>
      <c r="U322" s="146"/>
      <c r="V322" s="188"/>
      <c r="W322" s="180"/>
      <c r="X322" s="180"/>
      <c r="Y322" s="180"/>
      <c r="Z322" s="148" t="str">
        <f>IFERROR(__xludf.DUMMYFUNCTION("""COMPUTED_VALUE"""),"")</f>
        <v/>
      </c>
      <c r="AA322" s="148" t="str">
        <f>IFERROR(__xludf.DUMMYFUNCTION("""COMPUTED_VALUE"""),"")</f>
        <v/>
      </c>
      <c r="AB322" s="148" t="str">
        <f>IFERROR(__xludf.DUMMYFUNCTION("""COMPUTED_VALUE"""),"")</f>
        <v/>
      </c>
      <c r="AC322" s="149"/>
      <c r="AD322" s="148"/>
      <c r="AE322" s="148"/>
      <c r="AF322" s="148" t="s">
        <v>613</v>
      </c>
      <c r="AG322" s="148"/>
      <c r="AH322" s="148"/>
      <c r="AI322" s="148" t="s">
        <v>614</v>
      </c>
      <c r="AJ322" s="148" t="s">
        <v>614</v>
      </c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</row>
    <row r="323" ht="14.25" customHeight="1">
      <c r="A323" s="179"/>
      <c r="B323" s="180"/>
      <c r="C323" s="181"/>
      <c r="D323" s="179"/>
      <c r="E323" s="182"/>
      <c r="F323" s="182"/>
      <c r="G323" s="180"/>
      <c r="H323" s="180"/>
      <c r="I323" s="180"/>
      <c r="J323" s="180"/>
      <c r="K323" s="183"/>
      <c r="L323" s="184"/>
      <c r="M323" s="185"/>
      <c r="N323" s="180"/>
      <c r="O323" s="69">
        <f t="shared" si="17"/>
        <v>0</v>
      </c>
      <c r="P323" s="186"/>
      <c r="Q323" s="179"/>
      <c r="R323" s="180"/>
      <c r="S323" s="187"/>
      <c r="T323" s="146">
        <f t="shared" si="14"/>
        <v>0</v>
      </c>
      <c r="U323" s="146"/>
      <c r="V323" s="188"/>
      <c r="W323" s="180"/>
      <c r="X323" s="180"/>
      <c r="Y323" s="180"/>
      <c r="Z323" s="148" t="str">
        <f>IFERROR(__xludf.DUMMYFUNCTION("""COMPUTED_VALUE"""),"")</f>
        <v/>
      </c>
      <c r="AA323" s="148" t="str">
        <f>IFERROR(__xludf.DUMMYFUNCTION("""COMPUTED_VALUE"""),"")</f>
        <v/>
      </c>
      <c r="AB323" s="148" t="str">
        <f>IFERROR(__xludf.DUMMYFUNCTION("""COMPUTED_VALUE"""),"")</f>
        <v/>
      </c>
      <c r="AC323" s="149"/>
      <c r="AD323" s="148"/>
      <c r="AE323" s="148"/>
      <c r="AF323" s="148" t="s">
        <v>613</v>
      </c>
      <c r="AG323" s="148"/>
      <c r="AH323" s="148"/>
      <c r="AI323" s="148" t="s">
        <v>614</v>
      </c>
      <c r="AJ323" s="148" t="s">
        <v>614</v>
      </c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</row>
    <row r="324" ht="14.25" customHeight="1">
      <c r="A324" s="179"/>
      <c r="B324" s="180"/>
      <c r="C324" s="181"/>
      <c r="D324" s="179"/>
      <c r="E324" s="182"/>
      <c r="F324" s="182"/>
      <c r="G324" s="180"/>
      <c r="H324" s="180"/>
      <c r="I324" s="180"/>
      <c r="J324" s="180"/>
      <c r="K324" s="183"/>
      <c r="L324" s="184"/>
      <c r="M324" s="185"/>
      <c r="N324" s="180"/>
      <c r="O324" s="69">
        <f t="shared" si="17"/>
        <v>0</v>
      </c>
      <c r="P324" s="186"/>
      <c r="Q324" s="179"/>
      <c r="R324" s="180"/>
      <c r="S324" s="187"/>
      <c r="T324" s="146">
        <f t="shared" si="14"/>
        <v>0</v>
      </c>
      <c r="U324" s="146"/>
      <c r="V324" s="188"/>
      <c r="W324" s="180"/>
      <c r="X324" s="180"/>
      <c r="Y324" s="180"/>
      <c r="Z324" s="148" t="str">
        <f>IFERROR(__xludf.DUMMYFUNCTION("""COMPUTED_VALUE"""),"")</f>
        <v/>
      </c>
      <c r="AA324" s="148" t="str">
        <f>IFERROR(__xludf.DUMMYFUNCTION("""COMPUTED_VALUE"""),"")</f>
        <v/>
      </c>
      <c r="AB324" s="148" t="str">
        <f>IFERROR(__xludf.DUMMYFUNCTION("""COMPUTED_VALUE"""),"")</f>
        <v/>
      </c>
      <c r="AC324" s="149"/>
      <c r="AD324" s="148"/>
      <c r="AE324" s="148"/>
      <c r="AF324" s="148" t="s">
        <v>613</v>
      </c>
      <c r="AG324" s="148"/>
      <c r="AH324" s="148"/>
      <c r="AI324" s="148" t="s">
        <v>614</v>
      </c>
      <c r="AJ324" s="148" t="s">
        <v>614</v>
      </c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</row>
    <row r="325" ht="14.25" customHeight="1">
      <c r="A325" s="179"/>
      <c r="B325" s="180"/>
      <c r="C325" s="181"/>
      <c r="D325" s="179"/>
      <c r="E325" s="182"/>
      <c r="F325" s="182"/>
      <c r="G325" s="180"/>
      <c r="H325" s="180"/>
      <c r="I325" s="180"/>
      <c r="J325" s="180"/>
      <c r="K325" s="183"/>
      <c r="L325" s="184"/>
      <c r="M325" s="185"/>
      <c r="N325" s="180"/>
      <c r="O325" s="69">
        <f t="shared" si="17"/>
        <v>0</v>
      </c>
      <c r="P325" s="186"/>
      <c r="Q325" s="179"/>
      <c r="R325" s="180"/>
      <c r="S325" s="187"/>
      <c r="T325" s="146">
        <f t="shared" si="14"/>
        <v>0</v>
      </c>
      <c r="U325" s="146"/>
      <c r="V325" s="188"/>
      <c r="W325" s="180"/>
      <c r="X325" s="180"/>
      <c r="Y325" s="180"/>
      <c r="Z325" s="148" t="str">
        <f>IFERROR(__xludf.DUMMYFUNCTION("""COMPUTED_VALUE"""),"")</f>
        <v/>
      </c>
      <c r="AA325" s="148" t="str">
        <f>IFERROR(__xludf.DUMMYFUNCTION("""COMPUTED_VALUE"""),"")</f>
        <v/>
      </c>
      <c r="AB325" s="148" t="str">
        <f>IFERROR(__xludf.DUMMYFUNCTION("""COMPUTED_VALUE"""),"")</f>
        <v/>
      </c>
      <c r="AC325" s="149"/>
      <c r="AD325" s="148"/>
      <c r="AE325" s="148"/>
      <c r="AF325" s="148" t="s">
        <v>613</v>
      </c>
      <c r="AG325" s="148"/>
      <c r="AH325" s="148"/>
      <c r="AI325" s="148" t="s">
        <v>614</v>
      </c>
      <c r="AJ325" s="148" t="s">
        <v>614</v>
      </c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</row>
    <row r="326" ht="14.25" customHeight="1">
      <c r="A326" s="179"/>
      <c r="B326" s="180"/>
      <c r="C326" s="181"/>
      <c r="D326" s="179"/>
      <c r="E326" s="182"/>
      <c r="F326" s="182"/>
      <c r="G326" s="180"/>
      <c r="H326" s="180"/>
      <c r="I326" s="180"/>
      <c r="J326" s="180"/>
      <c r="K326" s="183"/>
      <c r="L326" s="184"/>
      <c r="M326" s="185"/>
      <c r="N326" s="180"/>
      <c r="O326" s="69">
        <f t="shared" si="17"/>
        <v>0</v>
      </c>
      <c r="P326" s="186"/>
      <c r="Q326" s="179"/>
      <c r="R326" s="180"/>
      <c r="S326" s="187"/>
      <c r="T326" s="146">
        <f t="shared" si="14"/>
        <v>0</v>
      </c>
      <c r="U326" s="146"/>
      <c r="V326" s="188"/>
      <c r="W326" s="180"/>
      <c r="X326" s="180"/>
      <c r="Y326" s="180"/>
      <c r="Z326" s="148" t="str">
        <f>IFERROR(__xludf.DUMMYFUNCTION("""COMPUTED_VALUE"""),"")</f>
        <v/>
      </c>
      <c r="AA326" s="148" t="str">
        <f>IFERROR(__xludf.DUMMYFUNCTION("""COMPUTED_VALUE"""),"")</f>
        <v/>
      </c>
      <c r="AB326" s="148" t="str">
        <f>IFERROR(__xludf.DUMMYFUNCTION("""COMPUTED_VALUE"""),"")</f>
        <v/>
      </c>
      <c r="AC326" s="149"/>
      <c r="AD326" s="148"/>
      <c r="AE326" s="148"/>
      <c r="AF326" s="148" t="s">
        <v>613</v>
      </c>
      <c r="AG326" s="148"/>
      <c r="AH326" s="148"/>
      <c r="AI326" s="148" t="s">
        <v>614</v>
      </c>
      <c r="AJ326" s="148" t="s">
        <v>614</v>
      </c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</row>
    <row r="327" ht="14.25" customHeight="1">
      <c r="A327" s="179"/>
      <c r="B327" s="180"/>
      <c r="C327" s="181"/>
      <c r="D327" s="179"/>
      <c r="E327" s="182"/>
      <c r="F327" s="182"/>
      <c r="G327" s="180"/>
      <c r="H327" s="180"/>
      <c r="I327" s="180"/>
      <c r="J327" s="180"/>
      <c r="K327" s="183"/>
      <c r="L327" s="184"/>
      <c r="M327" s="185"/>
      <c r="N327" s="180"/>
      <c r="O327" s="69">
        <f t="shared" si="17"/>
        <v>0</v>
      </c>
      <c r="P327" s="186"/>
      <c r="Q327" s="179"/>
      <c r="R327" s="180"/>
      <c r="S327" s="187"/>
      <c r="T327" s="146">
        <f t="shared" si="14"/>
        <v>0</v>
      </c>
      <c r="U327" s="146"/>
      <c r="V327" s="188"/>
      <c r="W327" s="180"/>
      <c r="X327" s="180"/>
      <c r="Y327" s="180"/>
      <c r="Z327" s="148" t="str">
        <f>IFERROR(__xludf.DUMMYFUNCTION("""COMPUTED_VALUE"""),"")</f>
        <v/>
      </c>
      <c r="AA327" s="148" t="str">
        <f>IFERROR(__xludf.DUMMYFUNCTION("""COMPUTED_VALUE"""),"")</f>
        <v/>
      </c>
      <c r="AB327" s="148" t="str">
        <f>IFERROR(__xludf.DUMMYFUNCTION("""COMPUTED_VALUE"""),"")</f>
        <v/>
      </c>
      <c r="AC327" s="149"/>
      <c r="AD327" s="148"/>
      <c r="AE327" s="148"/>
      <c r="AF327" s="148" t="s">
        <v>613</v>
      </c>
      <c r="AG327" s="148"/>
      <c r="AH327" s="148"/>
      <c r="AI327" s="148" t="s">
        <v>614</v>
      </c>
      <c r="AJ327" s="148" t="s">
        <v>614</v>
      </c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</row>
    <row r="328" ht="14.25" customHeight="1">
      <c r="A328" s="179"/>
      <c r="B328" s="180"/>
      <c r="C328" s="181"/>
      <c r="D328" s="179"/>
      <c r="E328" s="182"/>
      <c r="F328" s="182"/>
      <c r="G328" s="180"/>
      <c r="H328" s="180"/>
      <c r="I328" s="180"/>
      <c r="J328" s="180"/>
      <c r="K328" s="183"/>
      <c r="L328" s="184"/>
      <c r="M328" s="185"/>
      <c r="N328" s="180"/>
      <c r="O328" s="69">
        <f t="shared" si="17"/>
        <v>0</v>
      </c>
      <c r="P328" s="186"/>
      <c r="Q328" s="179"/>
      <c r="R328" s="180"/>
      <c r="S328" s="187"/>
      <c r="T328" s="146">
        <f t="shared" si="14"/>
        <v>0</v>
      </c>
      <c r="U328" s="146"/>
      <c r="V328" s="188"/>
      <c r="W328" s="180"/>
      <c r="X328" s="180"/>
      <c r="Y328" s="180"/>
      <c r="Z328" s="148" t="str">
        <f>IFERROR(__xludf.DUMMYFUNCTION("""COMPUTED_VALUE"""),"")</f>
        <v/>
      </c>
      <c r="AA328" s="148" t="str">
        <f>IFERROR(__xludf.DUMMYFUNCTION("""COMPUTED_VALUE"""),"")</f>
        <v/>
      </c>
      <c r="AB328" s="148" t="str">
        <f>IFERROR(__xludf.DUMMYFUNCTION("""COMPUTED_VALUE"""),"")</f>
        <v/>
      </c>
      <c r="AC328" s="149"/>
      <c r="AD328" s="148"/>
      <c r="AE328" s="148"/>
      <c r="AF328" s="148" t="s">
        <v>613</v>
      </c>
      <c r="AG328" s="148"/>
      <c r="AH328" s="148"/>
      <c r="AI328" s="148" t="s">
        <v>614</v>
      </c>
      <c r="AJ328" s="148" t="s">
        <v>614</v>
      </c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</row>
    <row r="329" ht="14.25" customHeight="1">
      <c r="A329" s="179"/>
      <c r="B329" s="180"/>
      <c r="C329" s="181"/>
      <c r="D329" s="179"/>
      <c r="E329" s="182"/>
      <c r="F329" s="182"/>
      <c r="G329" s="180"/>
      <c r="H329" s="180"/>
      <c r="I329" s="180"/>
      <c r="J329" s="180"/>
      <c r="K329" s="183"/>
      <c r="L329" s="184"/>
      <c r="M329" s="185"/>
      <c r="N329" s="180"/>
      <c r="O329" s="69">
        <f t="shared" si="17"/>
        <v>0</v>
      </c>
      <c r="P329" s="186"/>
      <c r="Q329" s="179"/>
      <c r="R329" s="180"/>
      <c r="S329" s="187"/>
      <c r="T329" s="146">
        <f t="shared" si="14"/>
        <v>0</v>
      </c>
      <c r="U329" s="146"/>
      <c r="V329" s="188"/>
      <c r="W329" s="180"/>
      <c r="X329" s="180"/>
      <c r="Y329" s="180"/>
      <c r="Z329" s="148" t="str">
        <f>IFERROR(__xludf.DUMMYFUNCTION("""COMPUTED_VALUE"""),"")</f>
        <v/>
      </c>
      <c r="AA329" s="148" t="str">
        <f>IFERROR(__xludf.DUMMYFUNCTION("""COMPUTED_VALUE"""),"")</f>
        <v/>
      </c>
      <c r="AB329" s="148" t="str">
        <f>IFERROR(__xludf.DUMMYFUNCTION("""COMPUTED_VALUE"""),"")</f>
        <v/>
      </c>
      <c r="AC329" s="149"/>
      <c r="AD329" s="148"/>
      <c r="AE329" s="148"/>
      <c r="AF329" s="148" t="s">
        <v>613</v>
      </c>
      <c r="AG329" s="148"/>
      <c r="AH329" s="148"/>
      <c r="AI329" s="148" t="s">
        <v>614</v>
      </c>
      <c r="AJ329" s="148" t="s">
        <v>614</v>
      </c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</row>
    <row r="330" ht="18.75" customHeight="1">
      <c r="A330" s="48"/>
      <c r="B330" s="49"/>
      <c r="C330" s="50"/>
      <c r="D330" s="128"/>
      <c r="E330" s="51"/>
      <c r="F330" s="52"/>
      <c r="G330" s="48" t="s">
        <v>142</v>
      </c>
      <c r="H330" s="53"/>
      <c r="I330" s="53">
        <f>SUM(I103:I329)</f>
        <v>149</v>
      </c>
      <c r="J330" s="53"/>
      <c r="K330" s="48"/>
      <c r="L330" s="53"/>
      <c r="M330" s="53"/>
      <c r="N330" s="53"/>
      <c r="O330" s="53"/>
      <c r="P330" s="50"/>
      <c r="Q330" s="53"/>
      <c r="R330" s="53"/>
      <c r="S330" s="54"/>
      <c r="T330" s="54"/>
      <c r="U330" s="146"/>
      <c r="V330" s="50"/>
      <c r="W330" s="50"/>
      <c r="X330" s="50"/>
      <c r="Y330" s="50"/>
      <c r="Z330" s="55" t="str">
        <f>IFERROR(__xludf.DUMMYFUNCTION("""COMPUTED_VALUE"""),"")</f>
        <v/>
      </c>
      <c r="AA330" s="55" t="str">
        <f>IFERROR(__xludf.DUMMYFUNCTION("""COMPUTED_VALUE"""),"")</f>
        <v/>
      </c>
      <c r="AB330" s="55" t="str">
        <f>IFERROR(__xludf.DUMMYFUNCTION("""COMPUTED_VALUE"""),"")</f>
        <v/>
      </c>
      <c r="AC330" s="55"/>
      <c r="AD330" s="55"/>
      <c r="AE330" s="55"/>
      <c r="AF330" s="7" t="s">
        <v>613</v>
      </c>
      <c r="AG330" s="7"/>
      <c r="AH330" s="7" t="s">
        <v>142</v>
      </c>
      <c r="AI330" s="7" t="s">
        <v>614</v>
      </c>
      <c r="AJ330" s="7" t="s">
        <v>614</v>
      </c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</sheetData>
  <mergeCells count="1">
    <mergeCell ref="A1:O1"/>
  </mergeCells>
  <dataValidations>
    <dataValidation type="list" allowBlank="1" sqref="A103:A110">
      <formula1>$H$4:$H$7</formula1>
    </dataValidation>
    <dataValidation type="list" allowBlank="1" showErrorMessage="1" sqref="P103:P248">
      <formula1>"ADM,ADM 2,CH1-Khách,CH1-SR,MH,Ba Sao"</formula1>
    </dataValidation>
    <dataValidation type="list" allowBlank="1" showErrorMessage="1" sqref="V12:V99 V103:V329">
      <formula1>QUYUOC!$D$2:$D$6</formula1>
    </dataValidation>
    <dataValidation type="list" allowBlank="1" showErrorMessage="1" sqref="P249:P329">
      <formula1>QUYUOC!$J$2:$J$12</formula1>
    </dataValidation>
    <dataValidation type="list" allowBlank="1" showErrorMessage="1" sqref="Q103:Q330">
      <formula1>QUYUOC!$N$2:$N$16</formula1>
    </dataValidation>
    <dataValidation type="list" allowBlank="1" sqref="A12:A18">
      <formula1>$H$4:$H$9</formula1>
    </dataValidation>
    <dataValidation type="list" allowBlank="1" sqref="A19:A99 A111:A329">
      <formula1>QUYUOC!$G$2:$G$10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1" max="1" width="9.25"/>
    <col customWidth="1" min="2" max="2" width="14.75"/>
    <col customWidth="1" min="3" max="3" width="13.63"/>
    <col customWidth="1" min="4" max="4" width="11.5"/>
    <col customWidth="1" min="5" max="6" width="10.13"/>
    <col customWidth="1" min="7" max="7" width="46.88"/>
    <col customWidth="1" min="8" max="9" width="9.88"/>
    <col customWidth="1" min="10" max="10" width="12.13"/>
    <col customWidth="1" min="11" max="11" width="10.0"/>
    <col customWidth="1" min="12" max="12" width="18.25"/>
    <col customWidth="1" min="13" max="13" width="7.63"/>
    <col customWidth="1" min="14" max="14" width="7.75"/>
    <col customWidth="1" min="15" max="15" width="8.38"/>
    <col customWidth="1" min="16" max="16" width="30.13"/>
    <col customWidth="1" min="17" max="17" width="18.13"/>
    <col customWidth="1" min="18" max="18" width="19.5"/>
    <col customWidth="1" hidden="1" min="19" max="19" width="10.75"/>
    <col customWidth="1" min="20" max="20" width="10.75"/>
    <col customWidth="1" min="21" max="21" width="11.75"/>
    <col customWidth="1" min="22" max="22" width="12.13"/>
    <col customWidth="1" min="23" max="23" width="19.75"/>
    <col customWidth="1" min="24" max="24" width="16.38"/>
    <col customWidth="1" min="25" max="25" width="30.5"/>
    <col customWidth="1" min="26" max="27" width="18.5"/>
    <col customWidth="1" min="28" max="28" width="13.0"/>
    <col customWidth="1" hidden="1" min="29" max="29" width="9.38"/>
    <col customWidth="1" hidden="1" min="30" max="30" width="8.0"/>
    <col customWidth="1" hidden="1" min="31" max="31" width="8.13"/>
    <col customWidth="1" hidden="1" min="32" max="33" width="20.5"/>
    <col customWidth="1" hidden="1" min="34" max="34" width="65.5"/>
    <col customWidth="1" hidden="1" min="35" max="35" width="20.5"/>
    <col customWidth="1" hidden="1" min="36" max="36" width="8.0"/>
    <col customWidth="1" min="37" max="46" width="8.0"/>
  </cols>
  <sheetData>
    <row r="1" ht="48.75" customHeight="1">
      <c r="A1" s="1" t="s">
        <v>615</v>
      </c>
      <c r="P1" s="2"/>
      <c r="Q1" s="3"/>
      <c r="R1" s="4"/>
      <c r="S1" s="5"/>
      <c r="T1" s="5"/>
      <c r="U1" s="5"/>
      <c r="V1" s="6"/>
      <c r="W1" s="4"/>
      <c r="X1" s="4"/>
      <c r="Y1" s="4"/>
      <c r="Z1" s="2" t="s">
        <v>1</v>
      </c>
      <c r="AA1" s="4"/>
      <c r="AB1" s="4"/>
      <c r="AC1" s="4"/>
      <c r="AD1" s="4"/>
      <c r="AE1" s="4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ht="30.0" hidden="1" customHeight="1">
      <c r="A2" s="8"/>
      <c r="B2" s="9"/>
      <c r="C2" s="9"/>
      <c r="D2" s="10"/>
      <c r="E2" s="10"/>
      <c r="F2" s="11"/>
      <c r="G2" s="12"/>
      <c r="H2" s="12"/>
      <c r="I2" s="13" t="s">
        <v>2</v>
      </c>
      <c r="J2" s="13" t="s">
        <v>3</v>
      </c>
      <c r="K2" s="14" t="s">
        <v>4</v>
      </c>
      <c r="L2" s="13" t="s">
        <v>5</v>
      </c>
      <c r="M2" s="13" t="s">
        <v>6</v>
      </c>
      <c r="N2" s="13" t="s">
        <v>7</v>
      </c>
      <c r="O2" s="13" t="s">
        <v>8</v>
      </c>
      <c r="P2" s="12"/>
      <c r="Q2" s="15"/>
      <c r="R2" s="15"/>
      <c r="S2" s="16"/>
      <c r="T2" s="16"/>
      <c r="U2" s="16"/>
      <c r="V2" s="17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ht="19.5" hidden="1" customHeight="1">
      <c r="A3" s="18"/>
      <c r="B3" s="19"/>
      <c r="C3" s="19"/>
      <c r="D3" s="20"/>
      <c r="E3" s="189"/>
      <c r="F3" s="22"/>
      <c r="G3" s="23" t="s">
        <v>9</v>
      </c>
      <c r="H3" s="24"/>
      <c r="I3" s="190">
        <f>SUM(I12:I331)-I100</f>
        <v>70</v>
      </c>
      <c r="J3" s="26">
        <f>SUM(J12:J331)</f>
        <v>416.67</v>
      </c>
      <c r="K3" s="27"/>
      <c r="L3" s="27"/>
      <c r="M3" s="27"/>
      <c r="N3" s="26">
        <f t="shared" ref="N3:O3" si="1">SUM(N39:N331)</f>
        <v>25.221</v>
      </c>
      <c r="O3" s="26">
        <f t="shared" si="1"/>
        <v>406.8258</v>
      </c>
      <c r="P3" s="12"/>
      <c r="Q3" s="15"/>
      <c r="R3" s="15"/>
      <c r="S3" s="16"/>
      <c r="T3" s="16"/>
      <c r="U3" s="16"/>
      <c r="V3" s="17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ht="19.5" hidden="1" customHeight="1">
      <c r="A4" s="18"/>
      <c r="B4" s="28"/>
      <c r="C4" s="29"/>
      <c r="D4" s="20"/>
      <c r="E4" s="189"/>
      <c r="F4" s="22"/>
      <c r="G4" s="30" t="s">
        <v>10</v>
      </c>
      <c r="H4" s="31">
        <v>214.0</v>
      </c>
      <c r="I4" s="32">
        <f t="shared" ref="I4:J4" si="2">SUMIF($A$12:$O$332,$H4,I$12:I$332)</f>
        <v>0</v>
      </c>
      <c r="J4" s="33">
        <f t="shared" si="2"/>
        <v>0</v>
      </c>
      <c r="K4" s="34"/>
      <c r="L4" s="34"/>
      <c r="M4" s="34"/>
      <c r="N4" s="33">
        <f t="shared" ref="N4:O4" si="3">SUMIF($A$39:$O$331,$H4,N$39:N$331)</f>
        <v>0</v>
      </c>
      <c r="O4" s="33">
        <f t="shared" si="3"/>
        <v>0</v>
      </c>
      <c r="P4" s="12"/>
      <c r="Q4" s="15"/>
      <c r="R4" s="15"/>
      <c r="S4" s="16"/>
      <c r="T4" s="16"/>
      <c r="U4" s="16"/>
      <c r="V4" s="17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ht="20.25" hidden="1" customHeight="1">
      <c r="A5" s="18"/>
      <c r="B5" s="28"/>
      <c r="C5" s="29"/>
      <c r="D5" s="20"/>
      <c r="E5" s="189"/>
      <c r="F5" s="22"/>
      <c r="G5" s="30" t="s">
        <v>11</v>
      </c>
      <c r="H5" s="31">
        <v>359.0</v>
      </c>
      <c r="I5" s="32">
        <f t="shared" ref="I5:J5" si="4">SUMIF($A$12:$O$332,$H5,I$12:I$332)</f>
        <v>2</v>
      </c>
      <c r="J5" s="33">
        <f t="shared" si="4"/>
        <v>4.8</v>
      </c>
      <c r="K5" s="34"/>
      <c r="L5" s="34"/>
      <c r="M5" s="34"/>
      <c r="N5" s="33">
        <f t="shared" ref="N5:O5" si="5">SUMIF($A$39:$O$331,$H5,N$39:N$331)</f>
        <v>0</v>
      </c>
      <c r="O5" s="33">
        <f t="shared" si="5"/>
        <v>0</v>
      </c>
      <c r="P5" s="12"/>
      <c r="Q5" s="15"/>
      <c r="R5" s="15"/>
      <c r="S5" s="16"/>
      <c r="T5" s="16"/>
      <c r="U5" s="16"/>
      <c r="V5" s="17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</row>
    <row r="6" ht="23.25" hidden="1" customHeight="1">
      <c r="A6" s="35"/>
      <c r="B6" s="35"/>
      <c r="C6" s="35"/>
      <c r="D6" s="36"/>
      <c r="E6" s="191"/>
      <c r="F6" s="37"/>
      <c r="G6" s="30" t="s">
        <v>12</v>
      </c>
      <c r="H6" s="31" t="s">
        <v>13</v>
      </c>
      <c r="I6" s="32">
        <f t="shared" ref="I6:J6" si="6">SUMIF($A$12:$O$332,$H6,I$12:I$332)</f>
        <v>68</v>
      </c>
      <c r="J6" s="33">
        <f t="shared" si="6"/>
        <v>411.87</v>
      </c>
      <c r="K6" s="34"/>
      <c r="L6" s="34"/>
      <c r="M6" s="34"/>
      <c r="N6" s="33">
        <f t="shared" ref="N6:O6" si="7">SUMIF($A$39:$O$331,$H6,N$39:N$331)</f>
        <v>25.221</v>
      </c>
      <c r="O6" s="33">
        <f t="shared" si="7"/>
        <v>406.8258</v>
      </c>
      <c r="P6" s="35"/>
      <c r="Q6" s="35"/>
      <c r="R6" s="35"/>
      <c r="S6" s="38"/>
      <c r="T6" s="38"/>
      <c r="U6" s="38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</row>
    <row r="7" ht="19.5" hidden="1" customHeight="1">
      <c r="A7" s="35"/>
      <c r="B7" s="35"/>
      <c r="C7" s="35"/>
      <c r="D7" s="36"/>
      <c r="E7" s="191"/>
      <c r="F7" s="40"/>
      <c r="G7" s="41" t="s">
        <v>14</v>
      </c>
      <c r="H7" s="42" t="s">
        <v>15</v>
      </c>
      <c r="I7" s="32">
        <f t="shared" ref="I7:J7" si="8">SUMIF($A$12:$O$332,$H7,I$12:I$332)</f>
        <v>0</v>
      </c>
      <c r="J7" s="33">
        <f t="shared" si="8"/>
        <v>0</v>
      </c>
      <c r="K7" s="34"/>
      <c r="L7" s="34"/>
      <c r="M7" s="34"/>
      <c r="N7" s="33">
        <f t="shared" ref="N7:O7" si="9">SUMIF($A$39:$O$331,$H7,N$39:N$331)</f>
        <v>0</v>
      </c>
      <c r="O7" s="33">
        <f t="shared" si="9"/>
        <v>0</v>
      </c>
      <c r="P7" s="35"/>
      <c r="Q7" s="35"/>
      <c r="R7" s="35"/>
      <c r="S7" s="38"/>
      <c r="T7" s="38"/>
      <c r="U7" s="38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</row>
    <row r="8" ht="17.25" hidden="1" customHeight="1">
      <c r="A8" s="35"/>
      <c r="B8" s="35"/>
      <c r="C8" s="35"/>
      <c r="D8" s="36"/>
      <c r="E8" s="191"/>
      <c r="F8" s="40"/>
      <c r="G8" s="30"/>
      <c r="H8" s="31"/>
      <c r="I8" s="32"/>
      <c r="J8" s="33"/>
      <c r="K8" s="34"/>
      <c r="L8" s="34"/>
      <c r="M8" s="34"/>
      <c r="N8" s="33"/>
      <c r="O8" s="33"/>
      <c r="P8" s="35"/>
      <c r="Q8" s="35"/>
      <c r="R8" s="35"/>
      <c r="S8" s="38"/>
      <c r="T8" s="38"/>
      <c r="U8" s="38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</row>
    <row r="9" ht="19.5" hidden="1" customHeight="1">
      <c r="A9" s="35"/>
      <c r="B9" s="35"/>
      <c r="C9" s="35"/>
      <c r="D9" s="36"/>
      <c r="E9" s="191"/>
      <c r="F9" s="40"/>
      <c r="G9" s="41"/>
      <c r="H9" s="42"/>
      <c r="I9" s="32"/>
      <c r="J9" s="33"/>
      <c r="K9" s="34"/>
      <c r="L9" s="34"/>
      <c r="M9" s="34"/>
      <c r="N9" s="33"/>
      <c r="O9" s="33"/>
      <c r="P9" s="35"/>
      <c r="Q9" s="35"/>
      <c r="R9" s="35"/>
      <c r="S9" s="38"/>
      <c r="T9" s="38"/>
      <c r="U9" s="38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</row>
    <row r="10" hidden="1">
      <c r="A10" s="43"/>
      <c r="B10" s="43"/>
      <c r="C10" s="43"/>
      <c r="D10" s="44"/>
      <c r="E10" s="192"/>
      <c r="F10" s="45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6"/>
      <c r="W10" s="43"/>
      <c r="X10" s="43"/>
      <c r="Y10" s="43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</row>
    <row r="11" ht="48.75" customHeight="1">
      <c r="A11" s="48" t="s">
        <v>16</v>
      </c>
      <c r="B11" s="49" t="s">
        <v>17</v>
      </c>
      <c r="C11" s="50" t="s">
        <v>18</v>
      </c>
      <c r="D11" s="50" t="s">
        <v>19</v>
      </c>
      <c r="E11" s="128" t="s">
        <v>20</v>
      </c>
      <c r="F11" s="52" t="s">
        <v>21</v>
      </c>
      <c r="G11" s="48" t="s">
        <v>22</v>
      </c>
      <c r="H11" s="53" t="s">
        <v>23</v>
      </c>
      <c r="I11" s="53" t="s">
        <v>24</v>
      </c>
      <c r="J11" s="53" t="s">
        <v>3</v>
      </c>
      <c r="K11" s="48" t="s">
        <v>4</v>
      </c>
      <c r="L11" s="53" t="s">
        <v>5</v>
      </c>
      <c r="M11" s="53" t="s">
        <v>6</v>
      </c>
      <c r="N11" s="53" t="s">
        <v>7</v>
      </c>
      <c r="O11" s="53" t="s">
        <v>8</v>
      </c>
      <c r="P11" s="50" t="s">
        <v>25</v>
      </c>
      <c r="Q11" s="53" t="s">
        <v>26</v>
      </c>
      <c r="R11" s="53" t="s">
        <v>27</v>
      </c>
      <c r="S11" s="54"/>
      <c r="T11" s="54"/>
      <c r="U11" s="54"/>
      <c r="V11" s="50" t="s">
        <v>28</v>
      </c>
      <c r="W11" s="50" t="s">
        <v>29</v>
      </c>
      <c r="X11" s="50" t="s">
        <v>30</v>
      </c>
      <c r="Y11" s="50" t="s">
        <v>31</v>
      </c>
      <c r="Z11" s="55" t="str">
        <f>IFERROR(__xludf.DUMMYFUNCTION("LET(
  srcG, IMPORTRANGE(
    ""1zxEUXpXv19nxjBgmlH-lwo49Xf9PXrkBYj6xlVgXk0M"",
    ""SPNK (QLSP.T10-2026)!$G$5:$G""
  ),
  srcI, IMPORTRANGE(
    ""1zxEUXpXv19nxjBgmlH-lwo49Xf9PXrkBYj6xlVgXk0M"",
    ""SPNK (QLSP.T10-2026)!$I$5:$I""
  ),
  srcP, IMPORTRA"&amp;"NGE(
    ""1zxEUXpXv19nxjBgmlH-lwo49Xf9PXrkBYj6xlVgXk0M"",
    ""SPNK (QLSP.T10-2026)!$P$5:$P""
  ),
  srcM, IMPORTRANGE(
    ""1zxEUXpXv19nxjBgmlH-lwo49Xf9PXrkBYj6xlVgXk0M"",
    ""SPNK (QLSP.T10-2026)!$M$5:$M""
  ),
  BYROW(
    F11:F332,
    LAMBDA(f,
"&amp;"      LET(
        l, INDEX(L11:L332, ROW(f)-ROW(F11)+1),
        IF(
          AND(f="""",l=""""),
          {"""","""",""""},
          IFNA(
            { INDEX(srcI, MATCH(f, srcG, 0)),
              INDEX(srcP, MATCH(f, srcG, 0)),
              INDEX"&amp;"(srcM, MATCH(f, srcG, 0)) },
            IFNA(
              { INDEX(srcI, MATCH(l, srcI, 0)),
                INDEX(srcP, MATCH(l, srcI, 0)),
                INDEX(srcM, MATCH(l, srcI, 0)) },
              {"""","""",""""}
            )
          )
     "&amp;"   )
      )
    )
  )
)"),"#REF!")</f>
        <v>#REF!</v>
      </c>
      <c r="AA11" s="55" t="str">
        <f>IFERROR(__xludf.DUMMYFUNCTION("""COMPUTED_VALUE"""),"#REF!")</f>
        <v>#REF!</v>
      </c>
      <c r="AB11" s="55" t="str">
        <f>IFERROR(__xludf.DUMMYFUNCTION("""COMPUTED_VALUE"""),"#REF!")</f>
        <v>#REF!</v>
      </c>
      <c r="AC11" s="55"/>
      <c r="AD11" s="55"/>
      <c r="AE11" s="5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ht="19.5" customHeight="1">
      <c r="A12" s="56">
        <v>359.0</v>
      </c>
      <c r="B12" s="57" t="s">
        <v>616</v>
      </c>
      <c r="C12" s="98">
        <v>46175.0</v>
      </c>
      <c r="D12" s="108"/>
      <c r="E12" s="166" t="s">
        <v>617</v>
      </c>
      <c r="F12" s="60">
        <v>26.36627</v>
      </c>
      <c r="G12" s="62" t="s">
        <v>618</v>
      </c>
      <c r="H12" s="63" t="s">
        <v>45</v>
      </c>
      <c r="I12" s="84">
        <v>1.0</v>
      </c>
      <c r="J12" s="85">
        <v>2.12</v>
      </c>
      <c r="K12" s="80" t="s">
        <v>619</v>
      </c>
      <c r="L12" s="66" t="s">
        <v>620</v>
      </c>
      <c r="M12" s="86">
        <v>1.0</v>
      </c>
      <c r="N12" s="72">
        <v>0.03</v>
      </c>
      <c r="O12" s="87">
        <v>2.1140000000000003</v>
      </c>
      <c r="P12" s="70" t="s">
        <v>138</v>
      </c>
      <c r="Q12" s="72"/>
      <c r="R12" s="72"/>
      <c r="S12" s="71"/>
      <c r="T12" s="73"/>
      <c r="U12" s="73"/>
      <c r="V12" s="74"/>
      <c r="W12" s="74" t="b">
        <v>0</v>
      </c>
      <c r="X12" s="74" t="b">
        <v>0</v>
      </c>
      <c r="Y12" s="74" t="b">
        <v>0</v>
      </c>
      <c r="Z12" s="75" t="str">
        <f>IFERROR(__xludf.DUMMYFUNCTION("""COMPUTED_VALUE"""),"#REF!")</f>
        <v>#REF!</v>
      </c>
      <c r="AA12" s="75" t="str">
        <f>IFERROR(__xludf.DUMMYFUNCTION("""COMPUTED_VALUE"""),"#REF!")</f>
        <v>#REF!</v>
      </c>
      <c r="AB12" s="76" t="str">
        <f>IFERROR(__xludf.DUMMYFUNCTION("""COMPUTED_VALUE"""),"#REF!")</f>
        <v>#REF!</v>
      </c>
      <c r="AC12" s="75"/>
      <c r="AD12" s="55"/>
      <c r="AE12" s="5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ht="19.5" customHeight="1">
      <c r="A13" s="56">
        <v>359.0</v>
      </c>
      <c r="B13" s="57" t="s">
        <v>621</v>
      </c>
      <c r="C13" s="98">
        <v>46179.0</v>
      </c>
      <c r="D13" s="108"/>
      <c r="E13" s="166" t="s">
        <v>622</v>
      </c>
      <c r="F13" s="60" t="s">
        <v>623</v>
      </c>
      <c r="G13" s="62" t="s">
        <v>624</v>
      </c>
      <c r="H13" s="63" t="s">
        <v>45</v>
      </c>
      <c r="I13" s="84">
        <v>1.0</v>
      </c>
      <c r="J13" s="85">
        <v>2.68</v>
      </c>
      <c r="K13" s="80" t="s">
        <v>136</v>
      </c>
      <c r="L13" s="66" t="s">
        <v>625</v>
      </c>
      <c r="M13" s="86">
        <v>2.0</v>
      </c>
      <c r="N13" s="72">
        <v>0.018</v>
      </c>
      <c r="O13" s="87">
        <v>2.6764</v>
      </c>
      <c r="P13" s="70" t="s">
        <v>626</v>
      </c>
      <c r="Q13" s="72"/>
      <c r="R13" s="72"/>
      <c r="S13" s="71"/>
      <c r="T13" s="73"/>
      <c r="U13" s="73"/>
      <c r="V13" s="74"/>
      <c r="W13" s="74" t="b">
        <v>0</v>
      </c>
      <c r="X13" s="74" t="b">
        <v>0</v>
      </c>
      <c r="Y13" s="74" t="b">
        <v>0</v>
      </c>
      <c r="Z13" s="75" t="str">
        <f>IFERROR(__xludf.DUMMYFUNCTION("""COMPUTED_VALUE"""),"#REF!")</f>
        <v>#REF!</v>
      </c>
      <c r="AA13" s="75" t="str">
        <f>IFERROR(__xludf.DUMMYFUNCTION("""COMPUTED_VALUE"""),"#REF!")</f>
        <v>#REF!</v>
      </c>
      <c r="AB13" s="76" t="str">
        <f>IFERROR(__xludf.DUMMYFUNCTION("""COMPUTED_VALUE"""),"#REF!")</f>
        <v>#REF!</v>
      </c>
      <c r="AC13" s="75"/>
      <c r="AD13" s="55"/>
      <c r="AE13" s="5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ht="14.25" customHeight="1">
      <c r="A14" s="56"/>
      <c r="B14" s="57"/>
      <c r="C14" s="58"/>
      <c r="D14" s="59"/>
      <c r="E14" s="136"/>
      <c r="F14" s="193"/>
      <c r="G14" s="62"/>
      <c r="H14" s="63"/>
      <c r="I14" s="64"/>
      <c r="J14" s="63"/>
      <c r="K14" s="65"/>
      <c r="L14" s="66"/>
      <c r="M14" s="67"/>
      <c r="N14" s="68"/>
      <c r="O14" s="69"/>
      <c r="P14" s="70"/>
      <c r="Q14" s="71"/>
      <c r="R14" s="72"/>
      <c r="S14" s="71"/>
      <c r="T14" s="73"/>
      <c r="U14" s="73"/>
      <c r="V14" s="74"/>
      <c r="W14" s="74" t="b">
        <v>0</v>
      </c>
      <c r="X14" s="74" t="b">
        <v>0</v>
      </c>
      <c r="Y14" s="74" t="b">
        <v>0</v>
      </c>
      <c r="Z14" s="75" t="str">
        <f>IFERROR(__xludf.DUMMYFUNCTION("""COMPUTED_VALUE"""),"")</f>
        <v/>
      </c>
      <c r="AA14" s="75" t="str">
        <f>IFERROR(__xludf.DUMMYFUNCTION("""COMPUTED_VALUE"""),"")</f>
        <v/>
      </c>
      <c r="AB14" s="76" t="str">
        <f>IFERROR(__xludf.DUMMYFUNCTION("""COMPUTED_VALUE"""),"")</f>
        <v/>
      </c>
      <c r="AC14" s="75"/>
      <c r="AD14" s="55"/>
      <c r="AE14" s="5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4.25" customHeight="1">
      <c r="A15" s="56"/>
      <c r="B15" s="57"/>
      <c r="C15" s="58"/>
      <c r="D15" s="59"/>
      <c r="E15" s="136"/>
      <c r="F15" s="193"/>
      <c r="G15" s="62"/>
      <c r="H15" s="63"/>
      <c r="I15" s="64"/>
      <c r="J15" s="63"/>
      <c r="K15" s="65"/>
      <c r="L15" s="66"/>
      <c r="M15" s="67"/>
      <c r="N15" s="83"/>
      <c r="O15" s="69"/>
      <c r="P15" s="70"/>
      <c r="Q15" s="71"/>
      <c r="R15" s="72"/>
      <c r="S15" s="71"/>
      <c r="T15" s="73"/>
      <c r="U15" s="73"/>
      <c r="V15" s="74"/>
      <c r="W15" s="74" t="b">
        <v>0</v>
      </c>
      <c r="X15" s="74" t="b">
        <v>0</v>
      </c>
      <c r="Y15" s="74" t="b">
        <v>0</v>
      </c>
      <c r="Z15" s="75" t="str">
        <f>IFERROR(__xludf.DUMMYFUNCTION("""COMPUTED_VALUE"""),"")</f>
        <v/>
      </c>
      <c r="AA15" s="75" t="str">
        <f>IFERROR(__xludf.DUMMYFUNCTION("""COMPUTED_VALUE"""),"")</f>
        <v/>
      </c>
      <c r="AB15" s="76" t="str">
        <f>IFERROR(__xludf.DUMMYFUNCTION("""COMPUTED_VALUE"""),"")</f>
        <v/>
      </c>
      <c r="AC15" s="75"/>
      <c r="AD15" s="55"/>
      <c r="AE15" s="5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ht="14.25" customHeight="1">
      <c r="A16" s="56"/>
      <c r="B16" s="57"/>
      <c r="C16" s="58"/>
      <c r="D16" s="59"/>
      <c r="E16" s="136"/>
      <c r="F16" s="193"/>
      <c r="G16" s="62"/>
      <c r="H16" s="63"/>
      <c r="I16" s="64"/>
      <c r="J16" s="63"/>
      <c r="K16" s="65"/>
      <c r="L16" s="66"/>
      <c r="M16" s="67"/>
      <c r="N16" s="68"/>
      <c r="O16" s="69"/>
      <c r="P16" s="70"/>
      <c r="Q16" s="71"/>
      <c r="R16" s="83"/>
      <c r="S16" s="71"/>
      <c r="T16" s="73"/>
      <c r="U16" s="73"/>
      <c r="V16" s="74"/>
      <c r="W16" s="74" t="b">
        <v>0</v>
      </c>
      <c r="X16" s="74" t="b">
        <v>0</v>
      </c>
      <c r="Y16" s="74" t="b">
        <v>0</v>
      </c>
      <c r="Z16" s="75" t="str">
        <f>IFERROR(__xludf.DUMMYFUNCTION("""COMPUTED_VALUE"""),"")</f>
        <v/>
      </c>
      <c r="AA16" s="75" t="str">
        <f>IFERROR(__xludf.DUMMYFUNCTION("""COMPUTED_VALUE"""),"")</f>
        <v/>
      </c>
      <c r="AB16" s="76" t="str">
        <f>IFERROR(__xludf.DUMMYFUNCTION("""COMPUTED_VALUE"""),"")</f>
        <v/>
      </c>
      <c r="AC16" s="75"/>
      <c r="AD16" s="55"/>
      <c r="AE16" s="55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ht="14.25" customHeight="1">
      <c r="A17" s="56"/>
      <c r="B17" s="57"/>
      <c r="C17" s="58"/>
      <c r="D17" s="59"/>
      <c r="E17" s="136"/>
      <c r="F17" s="194"/>
      <c r="G17" s="62"/>
      <c r="H17" s="63"/>
      <c r="I17" s="64"/>
      <c r="J17" s="63"/>
      <c r="K17" s="65"/>
      <c r="L17" s="66"/>
      <c r="M17" s="156"/>
      <c r="N17" s="195"/>
      <c r="O17" s="69"/>
      <c r="P17" s="70"/>
      <c r="Q17" s="71"/>
      <c r="R17" s="83"/>
      <c r="S17" s="71"/>
      <c r="T17" s="73"/>
      <c r="U17" s="73"/>
      <c r="V17" s="74"/>
      <c r="W17" s="74" t="b">
        <v>0</v>
      </c>
      <c r="X17" s="74" t="b">
        <v>0</v>
      </c>
      <c r="Y17" s="74" t="b">
        <v>0</v>
      </c>
      <c r="Z17" s="75" t="str">
        <f>IFERROR(__xludf.DUMMYFUNCTION("""COMPUTED_VALUE"""),"")</f>
        <v/>
      </c>
      <c r="AA17" s="75" t="str">
        <f>IFERROR(__xludf.DUMMYFUNCTION("""COMPUTED_VALUE"""),"")</f>
        <v/>
      </c>
      <c r="AB17" s="76" t="str">
        <f>IFERROR(__xludf.DUMMYFUNCTION("""COMPUTED_VALUE"""),"")</f>
        <v/>
      </c>
      <c r="AC17" s="75"/>
      <c r="AD17" s="55"/>
      <c r="AE17" s="55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ht="14.25" customHeight="1">
      <c r="A18" s="56"/>
      <c r="B18" s="57"/>
      <c r="C18" s="58"/>
      <c r="D18" s="59"/>
      <c r="E18" s="136"/>
      <c r="F18" s="193"/>
      <c r="G18" s="62"/>
      <c r="H18" s="63"/>
      <c r="I18" s="64"/>
      <c r="J18" s="63"/>
      <c r="K18" s="65"/>
      <c r="L18" s="66"/>
      <c r="M18" s="67"/>
      <c r="N18" s="83"/>
      <c r="O18" s="69"/>
      <c r="P18" s="70"/>
      <c r="Q18" s="71"/>
      <c r="R18" s="72"/>
      <c r="S18" s="71"/>
      <c r="T18" s="73"/>
      <c r="U18" s="73"/>
      <c r="V18" s="74"/>
      <c r="W18" s="74" t="b">
        <v>0</v>
      </c>
      <c r="X18" s="74" t="b">
        <v>0</v>
      </c>
      <c r="Y18" s="74" t="b">
        <v>0</v>
      </c>
      <c r="Z18" s="75" t="str">
        <f>IFERROR(__xludf.DUMMYFUNCTION("""COMPUTED_VALUE"""),"")</f>
        <v/>
      </c>
      <c r="AA18" s="75" t="str">
        <f>IFERROR(__xludf.DUMMYFUNCTION("""COMPUTED_VALUE"""),"")</f>
        <v/>
      </c>
      <c r="AB18" s="76" t="str">
        <f>IFERROR(__xludf.DUMMYFUNCTION("""COMPUTED_VALUE"""),"")</f>
        <v/>
      </c>
      <c r="AC18" s="75"/>
      <c r="AD18" s="55"/>
      <c r="AE18" s="5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ht="14.25" customHeight="1">
      <c r="A19" s="56"/>
      <c r="B19" s="57"/>
      <c r="C19" s="58"/>
      <c r="D19" s="59"/>
      <c r="E19" s="136"/>
      <c r="F19" s="193"/>
      <c r="G19" s="62"/>
      <c r="H19" s="63"/>
      <c r="I19" s="64"/>
      <c r="J19" s="63"/>
      <c r="K19" s="92"/>
      <c r="L19" s="66"/>
      <c r="M19" s="67"/>
      <c r="N19" s="83"/>
      <c r="O19" s="69"/>
      <c r="P19" s="70"/>
      <c r="Q19" s="71"/>
      <c r="R19" s="72"/>
      <c r="S19" s="71"/>
      <c r="T19" s="73"/>
      <c r="U19" s="73"/>
      <c r="V19" s="74"/>
      <c r="W19" s="74" t="b">
        <v>0</v>
      </c>
      <c r="X19" s="74" t="b">
        <v>0</v>
      </c>
      <c r="Y19" s="74" t="b">
        <v>0</v>
      </c>
      <c r="Z19" s="75" t="str">
        <f>IFERROR(__xludf.DUMMYFUNCTION("""COMPUTED_VALUE"""),"")</f>
        <v/>
      </c>
      <c r="AA19" s="75" t="str">
        <f>IFERROR(__xludf.DUMMYFUNCTION("""COMPUTED_VALUE"""),"")</f>
        <v/>
      </c>
      <c r="AB19" s="76" t="str">
        <f>IFERROR(__xludf.DUMMYFUNCTION("""COMPUTED_VALUE"""),"")</f>
        <v/>
      </c>
      <c r="AC19" s="75"/>
      <c r="AD19" s="55"/>
      <c r="AE19" s="5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ht="14.25" customHeight="1">
      <c r="A20" s="56"/>
      <c r="B20" s="57"/>
      <c r="C20" s="58"/>
      <c r="D20" s="59"/>
      <c r="E20" s="136"/>
      <c r="F20" s="193"/>
      <c r="G20" s="62"/>
      <c r="H20" s="63"/>
      <c r="I20" s="64"/>
      <c r="J20" s="63"/>
      <c r="K20" s="92"/>
      <c r="L20" s="66"/>
      <c r="M20" s="67"/>
      <c r="N20" s="83"/>
      <c r="O20" s="69"/>
      <c r="P20" s="70"/>
      <c r="Q20" s="71"/>
      <c r="R20" s="72"/>
      <c r="S20" s="71"/>
      <c r="T20" s="73"/>
      <c r="U20" s="73"/>
      <c r="V20" s="74"/>
      <c r="W20" s="74" t="b">
        <v>0</v>
      </c>
      <c r="X20" s="74" t="b">
        <v>0</v>
      </c>
      <c r="Y20" s="74" t="b">
        <v>0</v>
      </c>
      <c r="Z20" s="75" t="str">
        <f>IFERROR(__xludf.DUMMYFUNCTION("""COMPUTED_VALUE"""),"")</f>
        <v/>
      </c>
      <c r="AA20" s="75" t="str">
        <f>IFERROR(__xludf.DUMMYFUNCTION("""COMPUTED_VALUE"""),"")</f>
        <v/>
      </c>
      <c r="AB20" s="76" t="str">
        <f>IFERROR(__xludf.DUMMYFUNCTION("""COMPUTED_VALUE"""),"")</f>
        <v/>
      </c>
      <c r="AC20" s="75"/>
      <c r="AD20" s="55"/>
      <c r="AE20" s="55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ht="14.25" customHeight="1">
      <c r="A21" s="74"/>
      <c r="B21" s="97"/>
      <c r="C21" s="105"/>
      <c r="D21" s="59"/>
      <c r="E21" s="78"/>
      <c r="F21" s="61"/>
      <c r="G21" s="110"/>
      <c r="H21" s="100"/>
      <c r="I21" s="64"/>
      <c r="J21" s="100"/>
      <c r="K21" s="92"/>
      <c r="L21" s="95"/>
      <c r="M21" s="92"/>
      <c r="N21" s="94"/>
      <c r="O21" s="69"/>
      <c r="P21" s="70"/>
      <c r="Q21" s="71"/>
      <c r="R21" s="96"/>
      <c r="S21" s="73"/>
      <c r="T21" s="73"/>
      <c r="U21" s="73"/>
      <c r="V21" s="74"/>
      <c r="W21" s="74" t="b">
        <v>0</v>
      </c>
      <c r="X21" s="74" t="b">
        <v>0</v>
      </c>
      <c r="Y21" s="74" t="b">
        <v>0</v>
      </c>
      <c r="Z21" s="75" t="str">
        <f>IFERROR(__xludf.DUMMYFUNCTION("""COMPUTED_VALUE"""),"")</f>
        <v/>
      </c>
      <c r="AA21" s="75" t="str">
        <f>IFERROR(__xludf.DUMMYFUNCTION("""COMPUTED_VALUE"""),"")</f>
        <v/>
      </c>
      <c r="AB21" s="76" t="str">
        <f>IFERROR(__xludf.DUMMYFUNCTION("""COMPUTED_VALUE"""),"")</f>
        <v/>
      </c>
      <c r="AC21" s="75"/>
      <c r="AD21" s="55"/>
      <c r="AE21" s="5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ht="14.25" customHeight="1">
      <c r="A22" s="74"/>
      <c r="B22" s="97"/>
      <c r="C22" s="105"/>
      <c r="D22" s="59"/>
      <c r="E22" s="78"/>
      <c r="F22" s="61"/>
      <c r="G22" s="99"/>
      <c r="H22" s="100"/>
      <c r="I22" s="64"/>
      <c r="J22" s="100"/>
      <c r="K22" s="92"/>
      <c r="L22" s="102"/>
      <c r="M22" s="106"/>
      <c r="N22" s="107"/>
      <c r="O22" s="69"/>
      <c r="P22" s="70"/>
      <c r="Q22" s="71"/>
      <c r="R22" s="96"/>
      <c r="S22" s="73"/>
      <c r="T22" s="73"/>
      <c r="U22" s="73"/>
      <c r="V22" s="74"/>
      <c r="W22" s="74" t="b">
        <v>0</v>
      </c>
      <c r="X22" s="74" t="b">
        <v>0</v>
      </c>
      <c r="Y22" s="74" t="b">
        <v>0</v>
      </c>
      <c r="Z22" s="75" t="str">
        <f>IFERROR(__xludf.DUMMYFUNCTION("""COMPUTED_VALUE"""),"")</f>
        <v/>
      </c>
      <c r="AA22" s="75" t="str">
        <f>IFERROR(__xludf.DUMMYFUNCTION("""COMPUTED_VALUE"""),"")</f>
        <v/>
      </c>
      <c r="AB22" s="76" t="str">
        <f>IFERROR(__xludf.DUMMYFUNCTION("""COMPUTED_VALUE"""),"")</f>
        <v/>
      </c>
      <c r="AC22" s="75"/>
      <c r="AD22" s="55"/>
      <c r="AE22" s="5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ht="14.25" customHeight="1">
      <c r="A23" s="74"/>
      <c r="B23" s="97"/>
      <c r="C23" s="105"/>
      <c r="D23" s="59"/>
      <c r="E23" s="78"/>
      <c r="F23" s="61"/>
      <c r="G23" s="110"/>
      <c r="H23" s="100"/>
      <c r="I23" s="64"/>
      <c r="J23" s="100"/>
      <c r="K23" s="92"/>
      <c r="L23" s="102"/>
      <c r="M23" s="106"/>
      <c r="N23" s="107"/>
      <c r="O23" s="69"/>
      <c r="P23" s="70"/>
      <c r="Q23" s="71"/>
      <c r="R23" s="96"/>
      <c r="S23" s="73"/>
      <c r="T23" s="73"/>
      <c r="U23" s="73"/>
      <c r="V23" s="74"/>
      <c r="W23" s="74" t="b">
        <v>0</v>
      </c>
      <c r="X23" s="74" t="b">
        <v>0</v>
      </c>
      <c r="Y23" s="74" t="b">
        <v>0</v>
      </c>
      <c r="Z23" s="75" t="str">
        <f>IFERROR(__xludf.DUMMYFUNCTION("""COMPUTED_VALUE"""),"")</f>
        <v/>
      </c>
      <c r="AA23" s="75" t="str">
        <f>IFERROR(__xludf.DUMMYFUNCTION("""COMPUTED_VALUE"""),"")</f>
        <v/>
      </c>
      <c r="AB23" s="76" t="str">
        <f>IFERROR(__xludf.DUMMYFUNCTION("""COMPUTED_VALUE"""),"")</f>
        <v/>
      </c>
      <c r="AC23" s="75"/>
      <c r="AD23" s="55"/>
      <c r="AE23" s="5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ht="14.25" customHeight="1">
      <c r="A24" s="74"/>
      <c r="B24" s="97"/>
      <c r="C24" s="105"/>
      <c r="D24" s="59"/>
      <c r="E24" s="78"/>
      <c r="F24" s="61"/>
      <c r="G24" s="110"/>
      <c r="H24" s="100"/>
      <c r="I24" s="64"/>
      <c r="J24" s="100"/>
      <c r="K24" s="92"/>
      <c r="L24" s="102"/>
      <c r="M24" s="92"/>
      <c r="N24" s="94"/>
      <c r="O24" s="69"/>
      <c r="P24" s="70"/>
      <c r="Q24" s="71"/>
      <c r="R24" s="96"/>
      <c r="S24" s="73"/>
      <c r="T24" s="73"/>
      <c r="U24" s="73"/>
      <c r="V24" s="74"/>
      <c r="W24" s="74" t="b">
        <v>0</v>
      </c>
      <c r="X24" s="74" t="b">
        <v>0</v>
      </c>
      <c r="Y24" s="74" t="b">
        <v>0</v>
      </c>
      <c r="Z24" s="75" t="str">
        <f>IFERROR(__xludf.DUMMYFUNCTION("""COMPUTED_VALUE"""),"")</f>
        <v/>
      </c>
      <c r="AA24" s="75" t="str">
        <f>IFERROR(__xludf.DUMMYFUNCTION("""COMPUTED_VALUE"""),"")</f>
        <v/>
      </c>
      <c r="AB24" s="76" t="str">
        <f>IFERROR(__xludf.DUMMYFUNCTION("""COMPUTED_VALUE"""),"")</f>
        <v/>
      </c>
      <c r="AC24" s="75"/>
      <c r="AD24" s="55"/>
      <c r="AE24" s="5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ht="14.25" customHeight="1">
      <c r="A25" s="74"/>
      <c r="B25" s="97"/>
      <c r="C25" s="105"/>
      <c r="D25" s="59"/>
      <c r="E25" s="78"/>
      <c r="F25" s="61"/>
      <c r="G25" s="99"/>
      <c r="H25" s="100"/>
      <c r="I25" s="64"/>
      <c r="J25" s="100"/>
      <c r="K25" s="92"/>
      <c r="L25" s="102"/>
      <c r="M25" s="92"/>
      <c r="N25" s="94"/>
      <c r="O25" s="69"/>
      <c r="P25" s="70"/>
      <c r="Q25" s="71"/>
      <c r="R25" s="96"/>
      <c r="S25" s="73"/>
      <c r="T25" s="73"/>
      <c r="U25" s="73"/>
      <c r="V25" s="74"/>
      <c r="W25" s="74" t="b">
        <v>0</v>
      </c>
      <c r="X25" s="74" t="b">
        <v>0</v>
      </c>
      <c r="Y25" s="74" t="b">
        <v>0</v>
      </c>
      <c r="Z25" s="75" t="str">
        <f>IFERROR(__xludf.DUMMYFUNCTION("""COMPUTED_VALUE"""),"")</f>
        <v/>
      </c>
      <c r="AA25" s="75" t="str">
        <f>IFERROR(__xludf.DUMMYFUNCTION("""COMPUTED_VALUE"""),"")</f>
        <v/>
      </c>
      <c r="AB25" s="76" t="str">
        <f>IFERROR(__xludf.DUMMYFUNCTION("""COMPUTED_VALUE"""),"")</f>
        <v/>
      </c>
      <c r="AC25" s="75"/>
      <c r="AD25" s="55"/>
      <c r="AE25" s="5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ht="14.25" customHeight="1">
      <c r="A26" s="74"/>
      <c r="B26" s="97"/>
      <c r="C26" s="105"/>
      <c r="D26" s="59"/>
      <c r="E26" s="78"/>
      <c r="F26" s="61"/>
      <c r="G26" s="99"/>
      <c r="H26" s="100"/>
      <c r="I26" s="64"/>
      <c r="J26" s="100"/>
      <c r="K26" s="92"/>
      <c r="L26" s="102"/>
      <c r="M26" s="92"/>
      <c r="N26" s="94"/>
      <c r="O26" s="69"/>
      <c r="P26" s="70"/>
      <c r="Q26" s="71"/>
      <c r="R26" s="96"/>
      <c r="S26" s="73"/>
      <c r="T26" s="73"/>
      <c r="U26" s="73"/>
      <c r="V26" s="74"/>
      <c r="W26" s="74" t="b">
        <v>0</v>
      </c>
      <c r="X26" s="74" t="b">
        <v>0</v>
      </c>
      <c r="Y26" s="74" t="b">
        <v>0</v>
      </c>
      <c r="Z26" s="75" t="str">
        <f>IFERROR(__xludf.DUMMYFUNCTION("""COMPUTED_VALUE"""),"")</f>
        <v/>
      </c>
      <c r="AA26" s="75" t="str">
        <f>IFERROR(__xludf.DUMMYFUNCTION("""COMPUTED_VALUE"""),"")</f>
        <v/>
      </c>
      <c r="AB26" s="76" t="str">
        <f>IFERROR(__xludf.DUMMYFUNCTION("""COMPUTED_VALUE"""),"")</f>
        <v/>
      </c>
      <c r="AC26" s="75"/>
      <c r="AD26" s="55"/>
      <c r="AE26" s="5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ht="14.25" customHeight="1">
      <c r="A27" s="74"/>
      <c r="B27" s="97"/>
      <c r="C27" s="105"/>
      <c r="D27" s="117"/>
      <c r="E27" s="78"/>
      <c r="F27" s="61"/>
      <c r="G27" s="99"/>
      <c r="H27" s="100"/>
      <c r="I27" s="196"/>
      <c r="J27" s="100"/>
      <c r="K27" s="92"/>
      <c r="L27" s="102"/>
      <c r="M27" s="92"/>
      <c r="N27" s="94"/>
      <c r="O27" s="69"/>
      <c r="P27" s="70"/>
      <c r="Q27" s="71"/>
      <c r="R27" s="96"/>
      <c r="S27" s="73"/>
      <c r="T27" s="73"/>
      <c r="U27" s="73"/>
      <c r="V27" s="74"/>
      <c r="W27" s="74" t="b">
        <v>0</v>
      </c>
      <c r="X27" s="74" t="b">
        <v>0</v>
      </c>
      <c r="Y27" s="74" t="b">
        <v>0</v>
      </c>
      <c r="Z27" s="75" t="str">
        <f>IFERROR(__xludf.DUMMYFUNCTION("""COMPUTED_VALUE"""),"")</f>
        <v/>
      </c>
      <c r="AA27" s="75" t="str">
        <f>IFERROR(__xludf.DUMMYFUNCTION("""COMPUTED_VALUE"""),"")</f>
        <v/>
      </c>
      <c r="AB27" s="76" t="str">
        <f>IFERROR(__xludf.DUMMYFUNCTION("""COMPUTED_VALUE"""),"")</f>
        <v/>
      </c>
      <c r="AC27" s="75"/>
      <c r="AD27" s="55"/>
      <c r="AE27" s="55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ht="14.25" customHeight="1">
      <c r="A28" s="74"/>
      <c r="B28" s="97"/>
      <c r="C28" s="105"/>
      <c r="D28" s="117"/>
      <c r="E28" s="78"/>
      <c r="F28" s="61"/>
      <c r="G28" s="99"/>
      <c r="H28" s="100"/>
      <c r="I28" s="196"/>
      <c r="J28" s="100"/>
      <c r="K28" s="92"/>
      <c r="L28" s="102"/>
      <c r="M28" s="92"/>
      <c r="N28" s="94"/>
      <c r="O28" s="69"/>
      <c r="P28" s="70"/>
      <c r="Q28" s="71"/>
      <c r="R28" s="96"/>
      <c r="S28" s="73"/>
      <c r="T28" s="73"/>
      <c r="U28" s="73"/>
      <c r="V28" s="74"/>
      <c r="W28" s="74" t="b">
        <v>0</v>
      </c>
      <c r="X28" s="74" t="b">
        <v>0</v>
      </c>
      <c r="Y28" s="74" t="b">
        <v>0</v>
      </c>
      <c r="Z28" s="75" t="str">
        <f>IFERROR(__xludf.DUMMYFUNCTION("""COMPUTED_VALUE"""),"")</f>
        <v/>
      </c>
      <c r="AA28" s="75" t="str">
        <f>IFERROR(__xludf.DUMMYFUNCTION("""COMPUTED_VALUE"""),"")</f>
        <v/>
      </c>
      <c r="AB28" s="76" t="str">
        <f>IFERROR(__xludf.DUMMYFUNCTION("""COMPUTED_VALUE"""),"")</f>
        <v/>
      </c>
      <c r="AC28" s="75"/>
      <c r="AD28" s="55"/>
      <c r="AE28" s="5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ht="14.25" customHeight="1">
      <c r="A29" s="74"/>
      <c r="B29" s="97"/>
      <c r="C29" s="105"/>
      <c r="D29" s="59"/>
      <c r="E29" s="78"/>
      <c r="F29" s="61"/>
      <c r="G29" s="99"/>
      <c r="H29" s="100"/>
      <c r="I29" s="120"/>
      <c r="J29" s="100"/>
      <c r="K29" s="92"/>
      <c r="L29" s="102"/>
      <c r="M29" s="92"/>
      <c r="N29" s="94"/>
      <c r="O29" s="69"/>
      <c r="P29" s="70"/>
      <c r="Q29" s="71"/>
      <c r="R29" s="96"/>
      <c r="S29" s="73"/>
      <c r="T29" s="73"/>
      <c r="U29" s="73"/>
      <c r="V29" s="74"/>
      <c r="W29" s="74" t="b">
        <v>0</v>
      </c>
      <c r="X29" s="74" t="b">
        <v>0</v>
      </c>
      <c r="Y29" s="74" t="b">
        <v>0</v>
      </c>
      <c r="Z29" s="75" t="str">
        <f>IFERROR(__xludf.DUMMYFUNCTION("""COMPUTED_VALUE"""),"")</f>
        <v/>
      </c>
      <c r="AA29" s="75" t="str">
        <f>IFERROR(__xludf.DUMMYFUNCTION("""COMPUTED_VALUE"""),"")</f>
        <v/>
      </c>
      <c r="AB29" s="76" t="str">
        <f>IFERROR(__xludf.DUMMYFUNCTION("""COMPUTED_VALUE"""),"")</f>
        <v/>
      </c>
      <c r="AC29" s="75"/>
      <c r="AD29" s="55"/>
      <c r="AE29" s="55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ht="14.25" customHeight="1">
      <c r="A30" s="74"/>
      <c r="B30" s="97"/>
      <c r="C30" s="98"/>
      <c r="D30" s="109"/>
      <c r="E30" s="78"/>
      <c r="F30" s="61"/>
      <c r="G30" s="99"/>
      <c r="H30" s="100"/>
      <c r="I30" s="196"/>
      <c r="J30" s="101"/>
      <c r="K30" s="88"/>
      <c r="L30" s="102"/>
      <c r="M30" s="103"/>
      <c r="N30" s="104"/>
      <c r="O30" s="69"/>
      <c r="P30" s="70"/>
      <c r="Q30" s="71"/>
      <c r="R30" s="96"/>
      <c r="S30" s="73"/>
      <c r="T30" s="73"/>
      <c r="U30" s="73"/>
      <c r="V30" s="74"/>
      <c r="W30" s="74" t="b">
        <v>0</v>
      </c>
      <c r="X30" s="74" t="b">
        <v>0</v>
      </c>
      <c r="Y30" s="74" t="b">
        <v>0</v>
      </c>
      <c r="Z30" s="75" t="str">
        <f>IFERROR(__xludf.DUMMYFUNCTION("""COMPUTED_VALUE"""),"")</f>
        <v/>
      </c>
      <c r="AA30" s="75" t="str">
        <f>IFERROR(__xludf.DUMMYFUNCTION("""COMPUTED_VALUE"""),"")</f>
        <v/>
      </c>
      <c r="AB30" s="76" t="str">
        <f>IFERROR(__xludf.DUMMYFUNCTION("""COMPUTED_VALUE"""),"")</f>
        <v/>
      </c>
      <c r="AC30" s="75"/>
      <c r="AD30" s="55"/>
      <c r="AE30" s="5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ht="14.25" customHeight="1">
      <c r="A31" s="74"/>
      <c r="B31" s="97"/>
      <c r="C31" s="98"/>
      <c r="D31" s="74"/>
      <c r="E31" s="78"/>
      <c r="F31" s="61"/>
      <c r="G31" s="99"/>
      <c r="H31" s="100"/>
      <c r="I31" s="64"/>
      <c r="J31" s="197"/>
      <c r="K31" s="88"/>
      <c r="L31" s="102"/>
      <c r="M31" s="198"/>
      <c r="N31" s="199"/>
      <c r="O31" s="69"/>
      <c r="P31" s="70"/>
      <c r="Q31" s="71"/>
      <c r="R31" s="96"/>
      <c r="S31" s="73"/>
      <c r="T31" s="73"/>
      <c r="U31" s="73"/>
      <c r="V31" s="74"/>
      <c r="W31" s="74" t="b">
        <v>0</v>
      </c>
      <c r="X31" s="74" t="b">
        <v>0</v>
      </c>
      <c r="Y31" s="74" t="b">
        <v>0</v>
      </c>
      <c r="Z31" s="75" t="str">
        <f>IFERROR(__xludf.DUMMYFUNCTION("""COMPUTED_VALUE"""),"")</f>
        <v/>
      </c>
      <c r="AA31" s="75" t="str">
        <f>IFERROR(__xludf.DUMMYFUNCTION("""COMPUTED_VALUE"""),"")</f>
        <v/>
      </c>
      <c r="AB31" s="76" t="str">
        <f>IFERROR(__xludf.DUMMYFUNCTION("""COMPUTED_VALUE"""),"")</f>
        <v/>
      </c>
      <c r="AC31" s="75"/>
      <c r="AD31" s="55"/>
      <c r="AE31" s="5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ht="14.25" customHeight="1">
      <c r="A32" s="74"/>
      <c r="B32" s="97"/>
      <c r="C32" s="98"/>
      <c r="D32" s="109"/>
      <c r="E32" s="78"/>
      <c r="F32" s="61"/>
      <c r="G32" s="99"/>
      <c r="H32" s="100"/>
      <c r="I32" s="196"/>
      <c r="J32" s="101"/>
      <c r="K32" s="88"/>
      <c r="L32" s="102"/>
      <c r="M32" s="103"/>
      <c r="N32" s="104"/>
      <c r="O32" s="69"/>
      <c r="P32" s="70"/>
      <c r="Q32" s="71"/>
      <c r="R32" s="96"/>
      <c r="S32" s="73"/>
      <c r="T32" s="73"/>
      <c r="U32" s="73"/>
      <c r="V32" s="74"/>
      <c r="W32" s="74" t="b">
        <v>0</v>
      </c>
      <c r="X32" s="74" t="b">
        <v>0</v>
      </c>
      <c r="Y32" s="74" t="b">
        <v>0</v>
      </c>
      <c r="Z32" s="75" t="str">
        <f>IFERROR(__xludf.DUMMYFUNCTION("""COMPUTED_VALUE"""),"")</f>
        <v/>
      </c>
      <c r="AA32" s="75" t="str">
        <f>IFERROR(__xludf.DUMMYFUNCTION("""COMPUTED_VALUE"""),"")</f>
        <v/>
      </c>
      <c r="AB32" s="76" t="str">
        <f>IFERROR(__xludf.DUMMYFUNCTION("""COMPUTED_VALUE"""),"")</f>
        <v/>
      </c>
      <c r="AC32" s="75"/>
      <c r="AD32" s="55"/>
      <c r="AE32" s="55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ht="14.25" customHeight="1">
      <c r="A33" s="74"/>
      <c r="B33" s="97"/>
      <c r="C33" s="105"/>
      <c r="D33" s="59"/>
      <c r="E33" s="78"/>
      <c r="F33" s="61"/>
      <c r="G33" s="99"/>
      <c r="H33" s="100"/>
      <c r="I33" s="120"/>
      <c r="J33" s="100"/>
      <c r="K33" s="92"/>
      <c r="L33" s="102"/>
      <c r="M33" s="92"/>
      <c r="N33" s="94"/>
      <c r="O33" s="69"/>
      <c r="P33" s="70"/>
      <c r="Q33" s="71"/>
      <c r="R33" s="96"/>
      <c r="S33" s="73"/>
      <c r="T33" s="73"/>
      <c r="U33" s="73"/>
      <c r="V33" s="74"/>
      <c r="W33" s="74" t="b">
        <v>0</v>
      </c>
      <c r="X33" s="74" t="b">
        <v>0</v>
      </c>
      <c r="Y33" s="74" t="b">
        <v>0</v>
      </c>
      <c r="Z33" s="75" t="str">
        <f>IFERROR(__xludf.DUMMYFUNCTION("""COMPUTED_VALUE"""),"")</f>
        <v/>
      </c>
      <c r="AA33" s="75" t="str">
        <f>IFERROR(__xludf.DUMMYFUNCTION("""COMPUTED_VALUE"""),"")</f>
        <v/>
      </c>
      <c r="AB33" s="76" t="str">
        <f>IFERROR(__xludf.DUMMYFUNCTION("""COMPUTED_VALUE"""),"")</f>
        <v/>
      </c>
      <c r="AC33" s="75"/>
      <c r="AD33" s="55"/>
      <c r="AE33" s="55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ht="14.25" customHeight="1">
      <c r="A34" s="74"/>
      <c r="B34" s="97"/>
      <c r="C34" s="105"/>
      <c r="D34" s="59"/>
      <c r="E34" s="78"/>
      <c r="F34" s="61"/>
      <c r="G34" s="110"/>
      <c r="H34" s="100"/>
      <c r="I34" s="120"/>
      <c r="J34" s="200"/>
      <c r="K34" s="92"/>
      <c r="L34" s="102"/>
      <c r="M34" s="92"/>
      <c r="N34" s="94"/>
      <c r="O34" s="69"/>
      <c r="P34" s="70"/>
      <c r="Q34" s="71"/>
      <c r="R34" s="96"/>
      <c r="S34" s="73"/>
      <c r="T34" s="73"/>
      <c r="U34" s="73"/>
      <c r="V34" s="74"/>
      <c r="W34" s="74" t="b">
        <v>0</v>
      </c>
      <c r="X34" s="74" t="b">
        <v>0</v>
      </c>
      <c r="Y34" s="74" t="b">
        <v>0</v>
      </c>
      <c r="Z34" s="75" t="str">
        <f>IFERROR(__xludf.DUMMYFUNCTION("""COMPUTED_VALUE"""),"")</f>
        <v/>
      </c>
      <c r="AA34" s="75" t="str">
        <f>IFERROR(__xludf.DUMMYFUNCTION("""COMPUTED_VALUE"""),"")</f>
        <v/>
      </c>
      <c r="AB34" s="76" t="str">
        <f>IFERROR(__xludf.DUMMYFUNCTION("""COMPUTED_VALUE"""),"")</f>
        <v/>
      </c>
      <c r="AC34" s="75"/>
      <c r="AD34" s="55"/>
      <c r="AE34" s="55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ht="14.25" customHeight="1">
      <c r="A35" s="74"/>
      <c r="B35" s="97"/>
      <c r="C35" s="105"/>
      <c r="D35" s="59"/>
      <c r="E35" s="78"/>
      <c r="F35" s="61"/>
      <c r="G35" s="99"/>
      <c r="H35" s="100"/>
      <c r="I35" s="120"/>
      <c r="J35" s="100"/>
      <c r="K35" s="92"/>
      <c r="L35" s="102"/>
      <c r="M35" s="103"/>
      <c r="N35" s="104"/>
      <c r="O35" s="69"/>
      <c r="P35" s="70"/>
      <c r="Q35" s="71"/>
      <c r="R35" s="74"/>
      <c r="S35" s="73"/>
      <c r="T35" s="73"/>
      <c r="U35" s="73"/>
      <c r="V35" s="74"/>
      <c r="W35" s="74" t="b">
        <v>0</v>
      </c>
      <c r="X35" s="74" t="b">
        <v>0</v>
      </c>
      <c r="Y35" s="74" t="b">
        <v>0</v>
      </c>
      <c r="Z35" s="75" t="str">
        <f>IFERROR(__xludf.DUMMYFUNCTION("""COMPUTED_VALUE"""),"")</f>
        <v/>
      </c>
      <c r="AA35" s="75" t="str">
        <f>IFERROR(__xludf.DUMMYFUNCTION("""COMPUTED_VALUE"""),"")</f>
        <v/>
      </c>
      <c r="AB35" s="76" t="str">
        <f>IFERROR(__xludf.DUMMYFUNCTION("""COMPUTED_VALUE"""),"")</f>
        <v/>
      </c>
      <c r="AC35" s="75"/>
      <c r="AD35" s="55"/>
      <c r="AE35" s="55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ht="14.25" customHeight="1">
      <c r="A36" s="74"/>
      <c r="B36" s="97"/>
      <c r="C36" s="98"/>
      <c r="D36" s="109"/>
      <c r="E36" s="78"/>
      <c r="F36" s="61"/>
      <c r="G36" s="99"/>
      <c r="H36" s="100"/>
      <c r="I36" s="84"/>
      <c r="J36" s="101"/>
      <c r="K36" s="88"/>
      <c r="L36" s="102"/>
      <c r="M36" s="103"/>
      <c r="N36" s="104"/>
      <c r="O36" s="69"/>
      <c r="P36" s="70"/>
      <c r="Q36" s="71"/>
      <c r="R36" s="96"/>
      <c r="S36" s="73"/>
      <c r="T36" s="73"/>
      <c r="U36" s="73"/>
      <c r="V36" s="74"/>
      <c r="W36" s="74" t="b">
        <v>0</v>
      </c>
      <c r="X36" s="74" t="b">
        <v>0</v>
      </c>
      <c r="Y36" s="74" t="b">
        <v>0</v>
      </c>
      <c r="Z36" s="75" t="str">
        <f>IFERROR(__xludf.DUMMYFUNCTION("""COMPUTED_VALUE"""),"")</f>
        <v/>
      </c>
      <c r="AA36" s="75" t="str">
        <f>IFERROR(__xludf.DUMMYFUNCTION("""COMPUTED_VALUE"""),"")</f>
        <v/>
      </c>
      <c r="AB36" s="76" t="str">
        <f>IFERROR(__xludf.DUMMYFUNCTION("""COMPUTED_VALUE"""),"")</f>
        <v/>
      </c>
      <c r="AC36" s="75"/>
      <c r="AD36" s="55"/>
      <c r="AE36" s="55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ht="14.25" customHeight="1">
      <c r="A37" s="74"/>
      <c r="B37" s="97"/>
      <c r="C37" s="98"/>
      <c r="D37" s="109"/>
      <c r="E37" s="78"/>
      <c r="F37" s="61"/>
      <c r="G37" s="99"/>
      <c r="H37" s="100"/>
      <c r="I37" s="84"/>
      <c r="J37" s="101"/>
      <c r="K37" s="88"/>
      <c r="L37" s="102"/>
      <c r="M37" s="103"/>
      <c r="N37" s="104"/>
      <c r="O37" s="69"/>
      <c r="P37" s="70"/>
      <c r="Q37" s="71"/>
      <c r="R37" s="96"/>
      <c r="S37" s="73"/>
      <c r="T37" s="73"/>
      <c r="U37" s="73"/>
      <c r="V37" s="74"/>
      <c r="W37" s="74" t="b">
        <v>0</v>
      </c>
      <c r="X37" s="74" t="b">
        <v>0</v>
      </c>
      <c r="Y37" s="74" t="b">
        <v>0</v>
      </c>
      <c r="Z37" s="75" t="str">
        <f>IFERROR(__xludf.DUMMYFUNCTION("""COMPUTED_VALUE"""),"")</f>
        <v/>
      </c>
      <c r="AA37" s="75" t="str">
        <f>IFERROR(__xludf.DUMMYFUNCTION("""COMPUTED_VALUE"""),"")</f>
        <v/>
      </c>
      <c r="AB37" s="76" t="str">
        <f>IFERROR(__xludf.DUMMYFUNCTION("""COMPUTED_VALUE"""),"")</f>
        <v/>
      </c>
      <c r="AC37" s="75"/>
      <c r="AD37" s="55"/>
      <c r="AE37" s="55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ht="14.25" customHeight="1">
      <c r="A38" s="74"/>
      <c r="B38" s="97"/>
      <c r="C38" s="105"/>
      <c r="D38" s="59"/>
      <c r="E38" s="78"/>
      <c r="F38" s="61"/>
      <c r="G38" s="99"/>
      <c r="H38" s="100"/>
      <c r="I38" s="120"/>
      <c r="J38" s="100"/>
      <c r="K38" s="92"/>
      <c r="L38" s="102"/>
      <c r="M38" s="106"/>
      <c r="N38" s="107"/>
      <c r="O38" s="69"/>
      <c r="P38" s="70"/>
      <c r="Q38" s="71"/>
      <c r="R38" s="96"/>
      <c r="S38" s="73"/>
      <c r="T38" s="73"/>
      <c r="U38" s="73"/>
      <c r="V38" s="74"/>
      <c r="W38" s="74" t="b">
        <v>0</v>
      </c>
      <c r="X38" s="74" t="b">
        <v>0</v>
      </c>
      <c r="Y38" s="74" t="b">
        <v>0</v>
      </c>
      <c r="Z38" s="75" t="str">
        <f>IFERROR(__xludf.DUMMYFUNCTION("""COMPUTED_VALUE"""),"")</f>
        <v/>
      </c>
      <c r="AA38" s="75" t="str">
        <f>IFERROR(__xludf.DUMMYFUNCTION("""COMPUTED_VALUE"""),"")</f>
        <v/>
      </c>
      <c r="AB38" s="76" t="str">
        <f>IFERROR(__xludf.DUMMYFUNCTION("""COMPUTED_VALUE"""),"")</f>
        <v/>
      </c>
      <c r="AC38" s="75"/>
      <c r="AD38" s="55"/>
      <c r="AE38" s="55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ht="14.25" customHeight="1">
      <c r="A39" s="74"/>
      <c r="B39" s="97"/>
      <c r="C39" s="105"/>
      <c r="D39" s="59"/>
      <c r="E39" s="78"/>
      <c r="F39" s="61"/>
      <c r="G39" s="99"/>
      <c r="H39" s="100"/>
      <c r="I39" s="120"/>
      <c r="J39" s="100"/>
      <c r="K39" s="92"/>
      <c r="L39" s="102"/>
      <c r="M39" s="106"/>
      <c r="N39" s="107"/>
      <c r="O39" s="69"/>
      <c r="P39" s="70"/>
      <c r="Q39" s="71"/>
      <c r="R39" s="96"/>
      <c r="S39" s="73"/>
      <c r="T39" s="73"/>
      <c r="U39" s="73"/>
      <c r="V39" s="74"/>
      <c r="W39" s="74" t="b">
        <v>0</v>
      </c>
      <c r="X39" s="74" t="b">
        <v>0</v>
      </c>
      <c r="Y39" s="74" t="b">
        <v>0</v>
      </c>
      <c r="Z39" s="75" t="str">
        <f>IFERROR(__xludf.DUMMYFUNCTION("""COMPUTED_VALUE"""),"")</f>
        <v/>
      </c>
      <c r="AA39" s="75" t="str">
        <f>IFERROR(__xludf.DUMMYFUNCTION("""COMPUTED_VALUE"""),"")</f>
        <v/>
      </c>
      <c r="AB39" s="76" t="str">
        <f>IFERROR(__xludf.DUMMYFUNCTION("""COMPUTED_VALUE"""),"")</f>
        <v/>
      </c>
      <c r="AC39" s="75"/>
      <c r="AD39" s="55"/>
      <c r="AE39" s="55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ht="14.25" customHeight="1">
      <c r="A40" s="74"/>
      <c r="B40" s="97"/>
      <c r="C40" s="105"/>
      <c r="D40" s="59"/>
      <c r="E40" s="78"/>
      <c r="F40" s="121"/>
      <c r="G40" s="99"/>
      <c r="H40" s="100"/>
      <c r="I40" s="120"/>
      <c r="J40" s="100"/>
      <c r="K40" s="92"/>
      <c r="L40" s="102"/>
      <c r="M40" s="106"/>
      <c r="N40" s="107"/>
      <c r="O40" s="69"/>
      <c r="P40" s="70"/>
      <c r="Q40" s="71"/>
      <c r="R40" s="96"/>
      <c r="S40" s="73"/>
      <c r="T40" s="73"/>
      <c r="U40" s="73"/>
      <c r="V40" s="74"/>
      <c r="W40" s="74" t="b">
        <v>0</v>
      </c>
      <c r="X40" s="74" t="b">
        <v>0</v>
      </c>
      <c r="Y40" s="74" t="b">
        <v>0</v>
      </c>
      <c r="Z40" s="75" t="str">
        <f>IFERROR(__xludf.DUMMYFUNCTION("""COMPUTED_VALUE"""),"")</f>
        <v/>
      </c>
      <c r="AA40" s="75" t="str">
        <f>IFERROR(__xludf.DUMMYFUNCTION("""COMPUTED_VALUE"""),"")</f>
        <v/>
      </c>
      <c r="AB40" s="76" t="str">
        <f>IFERROR(__xludf.DUMMYFUNCTION("""COMPUTED_VALUE"""),"")</f>
        <v/>
      </c>
      <c r="AC40" s="75"/>
      <c r="AD40" s="55"/>
      <c r="AE40" s="55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ht="14.25" customHeight="1">
      <c r="A41" s="74"/>
      <c r="B41" s="97"/>
      <c r="C41" s="105"/>
      <c r="D41" s="114"/>
      <c r="E41" s="78"/>
      <c r="F41" s="121"/>
      <c r="G41" s="99"/>
      <c r="H41" s="100"/>
      <c r="I41" s="120"/>
      <c r="J41" s="100"/>
      <c r="K41" s="92"/>
      <c r="L41" s="102"/>
      <c r="M41" s="106"/>
      <c r="N41" s="107"/>
      <c r="O41" s="69"/>
      <c r="P41" s="70"/>
      <c r="Q41" s="71"/>
      <c r="R41" s="96"/>
      <c r="S41" s="73"/>
      <c r="T41" s="73"/>
      <c r="U41" s="73"/>
      <c r="V41" s="74"/>
      <c r="W41" s="74" t="b">
        <v>0</v>
      </c>
      <c r="X41" s="74" t="b">
        <v>0</v>
      </c>
      <c r="Y41" s="74" t="b">
        <v>0</v>
      </c>
      <c r="Z41" s="75" t="str">
        <f>IFERROR(__xludf.DUMMYFUNCTION("""COMPUTED_VALUE"""),"")</f>
        <v/>
      </c>
      <c r="AA41" s="75" t="str">
        <f>IFERROR(__xludf.DUMMYFUNCTION("""COMPUTED_VALUE"""),"")</f>
        <v/>
      </c>
      <c r="AB41" s="76" t="str">
        <f>IFERROR(__xludf.DUMMYFUNCTION("""COMPUTED_VALUE"""),"")</f>
        <v/>
      </c>
      <c r="AC41" s="75"/>
      <c r="AD41" s="55"/>
      <c r="AE41" s="55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ht="14.25" customHeight="1">
      <c r="A42" s="74"/>
      <c r="B42" s="97"/>
      <c r="C42" s="105"/>
      <c r="D42" s="59"/>
      <c r="E42" s="78"/>
      <c r="F42" s="121"/>
      <c r="G42" s="99"/>
      <c r="H42" s="100"/>
      <c r="I42" s="120"/>
      <c r="J42" s="100"/>
      <c r="K42" s="92"/>
      <c r="L42" s="102"/>
      <c r="M42" s="106"/>
      <c r="N42" s="107"/>
      <c r="O42" s="69"/>
      <c r="P42" s="70"/>
      <c r="Q42" s="71"/>
      <c r="R42" s="96"/>
      <c r="S42" s="73"/>
      <c r="T42" s="73"/>
      <c r="U42" s="73"/>
      <c r="V42" s="74"/>
      <c r="W42" s="74" t="b">
        <v>0</v>
      </c>
      <c r="X42" s="74" t="b">
        <v>0</v>
      </c>
      <c r="Y42" s="74" t="b">
        <v>0</v>
      </c>
      <c r="Z42" s="75" t="str">
        <f>IFERROR(__xludf.DUMMYFUNCTION("""COMPUTED_VALUE"""),"")</f>
        <v/>
      </c>
      <c r="AA42" s="75" t="str">
        <f>IFERROR(__xludf.DUMMYFUNCTION("""COMPUTED_VALUE"""),"")</f>
        <v/>
      </c>
      <c r="AB42" s="76" t="str">
        <f>IFERROR(__xludf.DUMMYFUNCTION("""COMPUTED_VALUE"""),"")</f>
        <v/>
      </c>
      <c r="AC42" s="75"/>
      <c r="AD42" s="55"/>
      <c r="AE42" s="55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ht="14.25" customHeight="1">
      <c r="A43" s="74"/>
      <c r="B43" s="97"/>
      <c r="C43" s="105"/>
      <c r="D43" s="59"/>
      <c r="E43" s="78"/>
      <c r="F43" s="121"/>
      <c r="G43" s="99"/>
      <c r="H43" s="100"/>
      <c r="I43" s="120"/>
      <c r="J43" s="100"/>
      <c r="K43" s="92"/>
      <c r="L43" s="102"/>
      <c r="M43" s="106"/>
      <c r="N43" s="107"/>
      <c r="O43" s="69"/>
      <c r="P43" s="70"/>
      <c r="Q43" s="71"/>
      <c r="R43" s="96"/>
      <c r="S43" s="122"/>
      <c r="T43" s="122"/>
      <c r="U43" s="122"/>
      <c r="V43" s="74"/>
      <c r="W43" s="74" t="b">
        <v>0</v>
      </c>
      <c r="X43" s="74" t="b">
        <v>0</v>
      </c>
      <c r="Y43" s="74" t="b">
        <v>0</v>
      </c>
      <c r="Z43" s="75" t="str">
        <f>IFERROR(__xludf.DUMMYFUNCTION("""COMPUTED_VALUE"""),"")</f>
        <v/>
      </c>
      <c r="AA43" s="75" t="str">
        <f>IFERROR(__xludf.DUMMYFUNCTION("""COMPUTED_VALUE"""),"")</f>
        <v/>
      </c>
      <c r="AB43" s="76" t="str">
        <f>IFERROR(__xludf.DUMMYFUNCTION("""COMPUTED_VALUE"""),"")</f>
        <v/>
      </c>
      <c r="AC43" s="75"/>
      <c r="AD43" s="55"/>
      <c r="AE43" s="55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ht="14.25" customHeight="1">
      <c r="A44" s="74"/>
      <c r="B44" s="97"/>
      <c r="C44" s="105"/>
      <c r="D44" s="59"/>
      <c r="E44" s="78"/>
      <c r="F44" s="121"/>
      <c r="G44" s="99"/>
      <c r="H44" s="100"/>
      <c r="I44" s="120"/>
      <c r="J44" s="100"/>
      <c r="K44" s="92"/>
      <c r="L44" s="102"/>
      <c r="M44" s="106"/>
      <c r="N44" s="107"/>
      <c r="O44" s="69"/>
      <c r="P44" s="70"/>
      <c r="Q44" s="71"/>
      <c r="R44" s="96"/>
      <c r="S44" s="122"/>
      <c r="T44" s="122"/>
      <c r="U44" s="122"/>
      <c r="V44" s="74"/>
      <c r="W44" s="74" t="b">
        <v>0</v>
      </c>
      <c r="X44" s="74" t="b">
        <v>0</v>
      </c>
      <c r="Y44" s="74" t="b">
        <v>0</v>
      </c>
      <c r="Z44" s="75" t="str">
        <f>IFERROR(__xludf.DUMMYFUNCTION("""COMPUTED_VALUE"""),"")</f>
        <v/>
      </c>
      <c r="AA44" s="75" t="str">
        <f>IFERROR(__xludf.DUMMYFUNCTION("""COMPUTED_VALUE"""),"")</f>
        <v/>
      </c>
      <c r="AB44" s="76" t="str">
        <f>IFERROR(__xludf.DUMMYFUNCTION("""COMPUTED_VALUE"""),"")</f>
        <v/>
      </c>
      <c r="AC44" s="75"/>
      <c r="AD44" s="55"/>
      <c r="AE44" s="55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ht="14.25" customHeight="1">
      <c r="A45" s="74"/>
      <c r="B45" s="97"/>
      <c r="C45" s="105"/>
      <c r="D45" s="59"/>
      <c r="E45" s="78"/>
      <c r="F45" s="121"/>
      <c r="G45" s="99"/>
      <c r="H45" s="100"/>
      <c r="I45" s="120"/>
      <c r="J45" s="100"/>
      <c r="K45" s="92"/>
      <c r="L45" s="102"/>
      <c r="M45" s="106"/>
      <c r="N45" s="107"/>
      <c r="O45" s="69"/>
      <c r="P45" s="70"/>
      <c r="Q45" s="71"/>
      <c r="R45" s="96"/>
      <c r="S45" s="122"/>
      <c r="T45" s="122"/>
      <c r="U45" s="122"/>
      <c r="V45" s="74"/>
      <c r="W45" s="74" t="b">
        <v>0</v>
      </c>
      <c r="X45" s="74" t="b">
        <v>0</v>
      </c>
      <c r="Y45" s="74" t="b">
        <v>0</v>
      </c>
      <c r="Z45" s="75" t="str">
        <f>IFERROR(__xludf.DUMMYFUNCTION("""COMPUTED_VALUE"""),"")</f>
        <v/>
      </c>
      <c r="AA45" s="75" t="str">
        <f>IFERROR(__xludf.DUMMYFUNCTION("""COMPUTED_VALUE"""),"")</f>
        <v/>
      </c>
      <c r="AB45" s="76" t="str">
        <f>IFERROR(__xludf.DUMMYFUNCTION("""COMPUTED_VALUE"""),"")</f>
        <v/>
      </c>
      <c r="AC45" s="75"/>
      <c r="AD45" s="55"/>
      <c r="AE45" s="55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ht="14.25" customHeight="1">
      <c r="A46" s="74"/>
      <c r="B46" s="97"/>
      <c r="C46" s="105"/>
      <c r="D46" s="59"/>
      <c r="E46" s="78"/>
      <c r="F46" s="121"/>
      <c r="G46" s="99"/>
      <c r="H46" s="100"/>
      <c r="I46" s="120"/>
      <c r="J46" s="100"/>
      <c r="K46" s="92"/>
      <c r="L46" s="102"/>
      <c r="M46" s="106"/>
      <c r="N46" s="107"/>
      <c r="O46" s="69"/>
      <c r="P46" s="70"/>
      <c r="Q46" s="71"/>
      <c r="R46" s="96"/>
      <c r="S46" s="122"/>
      <c r="T46" s="122"/>
      <c r="U46" s="122"/>
      <c r="V46" s="74"/>
      <c r="W46" s="74" t="b">
        <v>0</v>
      </c>
      <c r="X46" s="74" t="b">
        <v>0</v>
      </c>
      <c r="Y46" s="74" t="b">
        <v>0</v>
      </c>
      <c r="Z46" s="75" t="str">
        <f>IFERROR(__xludf.DUMMYFUNCTION("""COMPUTED_VALUE"""),"")</f>
        <v/>
      </c>
      <c r="AA46" s="75" t="str">
        <f>IFERROR(__xludf.DUMMYFUNCTION("""COMPUTED_VALUE"""),"")</f>
        <v/>
      </c>
      <c r="AB46" s="76" t="str">
        <f>IFERROR(__xludf.DUMMYFUNCTION("""COMPUTED_VALUE"""),"")</f>
        <v/>
      </c>
      <c r="AC46" s="75"/>
      <c r="AD46" s="55"/>
      <c r="AE46" s="55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ht="14.25" customHeight="1">
      <c r="A47" s="74"/>
      <c r="B47" s="97"/>
      <c r="C47" s="105"/>
      <c r="D47" s="59"/>
      <c r="E47" s="78"/>
      <c r="F47" s="121"/>
      <c r="G47" s="99"/>
      <c r="H47" s="100"/>
      <c r="I47" s="120"/>
      <c r="J47" s="100"/>
      <c r="K47" s="92"/>
      <c r="L47" s="102"/>
      <c r="M47" s="106"/>
      <c r="N47" s="107"/>
      <c r="O47" s="69"/>
      <c r="P47" s="70"/>
      <c r="Q47" s="71"/>
      <c r="R47" s="96"/>
      <c r="S47" s="122"/>
      <c r="T47" s="122"/>
      <c r="U47" s="122"/>
      <c r="V47" s="74"/>
      <c r="W47" s="74" t="b">
        <v>0</v>
      </c>
      <c r="X47" s="74" t="b">
        <v>0</v>
      </c>
      <c r="Y47" s="74" t="b">
        <v>0</v>
      </c>
      <c r="Z47" s="75" t="str">
        <f>IFERROR(__xludf.DUMMYFUNCTION("""COMPUTED_VALUE"""),"")</f>
        <v/>
      </c>
      <c r="AA47" s="75" t="str">
        <f>IFERROR(__xludf.DUMMYFUNCTION("""COMPUTED_VALUE"""),"")</f>
        <v/>
      </c>
      <c r="AB47" s="76" t="str">
        <f>IFERROR(__xludf.DUMMYFUNCTION("""COMPUTED_VALUE"""),"")</f>
        <v/>
      </c>
      <c r="AC47" s="75"/>
      <c r="AD47" s="55"/>
      <c r="AE47" s="55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ht="14.25" customHeight="1">
      <c r="A48" s="74"/>
      <c r="B48" s="97"/>
      <c r="C48" s="105"/>
      <c r="D48" s="59"/>
      <c r="E48" s="78"/>
      <c r="F48" s="121"/>
      <c r="G48" s="99"/>
      <c r="H48" s="100"/>
      <c r="I48" s="120"/>
      <c r="J48" s="100"/>
      <c r="K48" s="92"/>
      <c r="L48" s="102"/>
      <c r="M48" s="106"/>
      <c r="N48" s="107"/>
      <c r="O48" s="69"/>
      <c r="P48" s="70"/>
      <c r="Q48" s="71"/>
      <c r="R48" s="96"/>
      <c r="S48" s="122"/>
      <c r="T48" s="122"/>
      <c r="U48" s="122"/>
      <c r="V48" s="74"/>
      <c r="W48" s="74" t="b">
        <v>0</v>
      </c>
      <c r="X48" s="74" t="b">
        <v>0</v>
      </c>
      <c r="Y48" s="74" t="b">
        <v>0</v>
      </c>
      <c r="Z48" s="75" t="str">
        <f>IFERROR(__xludf.DUMMYFUNCTION("""COMPUTED_VALUE"""),"")</f>
        <v/>
      </c>
      <c r="AA48" s="75" t="str">
        <f>IFERROR(__xludf.DUMMYFUNCTION("""COMPUTED_VALUE"""),"")</f>
        <v/>
      </c>
      <c r="AB48" s="76" t="str">
        <f>IFERROR(__xludf.DUMMYFUNCTION("""COMPUTED_VALUE"""),"")</f>
        <v/>
      </c>
      <c r="AC48" s="75"/>
      <c r="AD48" s="55"/>
      <c r="AE48" s="55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ht="14.25" customHeight="1">
      <c r="A49" s="74"/>
      <c r="B49" s="97"/>
      <c r="C49" s="105"/>
      <c r="D49" s="114"/>
      <c r="E49" s="78"/>
      <c r="F49" s="121"/>
      <c r="G49" s="99"/>
      <c r="H49" s="100"/>
      <c r="I49" s="64"/>
      <c r="J49" s="100"/>
      <c r="K49" s="92"/>
      <c r="L49" s="102"/>
      <c r="M49" s="106"/>
      <c r="N49" s="107"/>
      <c r="O49" s="69"/>
      <c r="P49" s="70"/>
      <c r="Q49" s="71"/>
      <c r="R49" s="96"/>
      <c r="S49" s="122"/>
      <c r="T49" s="122"/>
      <c r="U49" s="122"/>
      <c r="V49" s="74"/>
      <c r="W49" s="74" t="b">
        <v>0</v>
      </c>
      <c r="X49" s="74" t="b">
        <v>0</v>
      </c>
      <c r="Y49" s="74" t="b">
        <v>0</v>
      </c>
      <c r="Z49" s="75" t="str">
        <f>IFERROR(__xludf.DUMMYFUNCTION("""COMPUTED_VALUE"""),"")</f>
        <v/>
      </c>
      <c r="AA49" s="75" t="str">
        <f>IFERROR(__xludf.DUMMYFUNCTION("""COMPUTED_VALUE"""),"")</f>
        <v/>
      </c>
      <c r="AB49" s="76" t="str">
        <f>IFERROR(__xludf.DUMMYFUNCTION("""COMPUTED_VALUE"""),"")</f>
        <v/>
      </c>
      <c r="AC49" s="75"/>
      <c r="AD49" s="55"/>
      <c r="AE49" s="55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ht="14.25" customHeight="1">
      <c r="A50" s="74"/>
      <c r="B50" s="97"/>
      <c r="C50" s="105"/>
      <c r="D50" s="59"/>
      <c r="E50" s="201"/>
      <c r="F50" s="99"/>
      <c r="G50" s="99"/>
      <c r="H50" s="100"/>
      <c r="I50" s="64"/>
      <c r="J50" s="100"/>
      <c r="K50" s="92"/>
      <c r="L50" s="102"/>
      <c r="M50" s="103"/>
      <c r="N50" s="104"/>
      <c r="O50" s="69"/>
      <c r="P50" s="123"/>
      <c r="Q50" s="71"/>
      <c r="R50" s="96"/>
      <c r="S50" s="122"/>
      <c r="T50" s="122"/>
      <c r="U50" s="122"/>
      <c r="V50" s="74"/>
      <c r="W50" s="74" t="b">
        <v>0</v>
      </c>
      <c r="X50" s="74" t="b">
        <v>0</v>
      </c>
      <c r="Y50" s="74" t="b">
        <v>0</v>
      </c>
      <c r="Z50" s="75" t="str">
        <f>IFERROR(__xludf.DUMMYFUNCTION("""COMPUTED_VALUE"""),"")</f>
        <v/>
      </c>
      <c r="AA50" s="75" t="str">
        <f>IFERROR(__xludf.DUMMYFUNCTION("""COMPUTED_VALUE"""),"")</f>
        <v/>
      </c>
      <c r="AB50" s="76" t="str">
        <f>IFERROR(__xludf.DUMMYFUNCTION("""COMPUTED_VALUE"""),"")</f>
        <v/>
      </c>
      <c r="AC50" s="75"/>
      <c r="AD50" s="55"/>
      <c r="AE50" s="55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ht="14.25" customHeight="1">
      <c r="A51" s="74"/>
      <c r="B51" s="97"/>
      <c r="C51" s="105"/>
      <c r="D51" s="59"/>
      <c r="E51" s="201"/>
      <c r="F51" s="99"/>
      <c r="G51" s="99"/>
      <c r="H51" s="100"/>
      <c r="I51" s="64"/>
      <c r="J51" s="100"/>
      <c r="K51" s="92"/>
      <c r="L51" s="102"/>
      <c r="M51" s="103"/>
      <c r="N51" s="104"/>
      <c r="O51" s="69"/>
      <c r="P51" s="123"/>
      <c r="Q51" s="71"/>
      <c r="R51" s="96"/>
      <c r="S51" s="122"/>
      <c r="T51" s="122"/>
      <c r="U51" s="122"/>
      <c r="V51" s="74"/>
      <c r="W51" s="74" t="b">
        <v>0</v>
      </c>
      <c r="X51" s="74" t="b">
        <v>0</v>
      </c>
      <c r="Y51" s="74" t="b">
        <v>0</v>
      </c>
      <c r="Z51" s="75" t="str">
        <f>IFERROR(__xludf.DUMMYFUNCTION("""COMPUTED_VALUE"""),"")</f>
        <v/>
      </c>
      <c r="AA51" s="75" t="str">
        <f>IFERROR(__xludf.DUMMYFUNCTION("""COMPUTED_VALUE"""),"")</f>
        <v/>
      </c>
      <c r="AB51" s="76" t="str">
        <f>IFERROR(__xludf.DUMMYFUNCTION("""COMPUTED_VALUE"""),"")</f>
        <v/>
      </c>
      <c r="AC51" s="75"/>
      <c r="AD51" s="55"/>
      <c r="AE51" s="55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ht="14.25" customHeight="1">
      <c r="A52" s="74"/>
      <c r="B52" s="97"/>
      <c r="C52" s="105"/>
      <c r="D52" s="59"/>
      <c r="E52" s="201"/>
      <c r="F52" s="99"/>
      <c r="G52" s="99"/>
      <c r="H52" s="100"/>
      <c r="I52" s="64"/>
      <c r="J52" s="100"/>
      <c r="K52" s="92"/>
      <c r="L52" s="102"/>
      <c r="M52" s="103"/>
      <c r="N52" s="104"/>
      <c r="O52" s="69"/>
      <c r="P52" s="123"/>
      <c r="Q52" s="71"/>
      <c r="R52" s="96"/>
      <c r="S52" s="122"/>
      <c r="T52" s="122"/>
      <c r="U52" s="122"/>
      <c r="V52" s="74"/>
      <c r="W52" s="74" t="b">
        <v>0</v>
      </c>
      <c r="X52" s="74" t="b">
        <v>0</v>
      </c>
      <c r="Y52" s="74" t="b">
        <v>0</v>
      </c>
      <c r="Z52" s="75" t="str">
        <f>IFERROR(__xludf.DUMMYFUNCTION("""COMPUTED_VALUE"""),"")</f>
        <v/>
      </c>
      <c r="AA52" s="75" t="str">
        <f>IFERROR(__xludf.DUMMYFUNCTION("""COMPUTED_VALUE"""),"")</f>
        <v/>
      </c>
      <c r="AB52" s="76" t="str">
        <f>IFERROR(__xludf.DUMMYFUNCTION("""COMPUTED_VALUE"""),"")</f>
        <v/>
      </c>
      <c r="AC52" s="75"/>
      <c r="AD52" s="55"/>
      <c r="AE52" s="55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ht="14.25" customHeight="1">
      <c r="A53" s="74"/>
      <c r="B53" s="97"/>
      <c r="C53" s="98"/>
      <c r="D53" s="109"/>
      <c r="E53" s="78"/>
      <c r="F53" s="121"/>
      <c r="G53" s="99"/>
      <c r="H53" s="100"/>
      <c r="I53" s="84"/>
      <c r="J53" s="101"/>
      <c r="K53" s="88"/>
      <c r="L53" s="102"/>
      <c r="M53" s="103"/>
      <c r="N53" s="104"/>
      <c r="O53" s="69"/>
      <c r="P53" s="70"/>
      <c r="Q53" s="71"/>
      <c r="R53" s="96"/>
      <c r="S53" s="122"/>
      <c r="T53" s="122"/>
      <c r="U53" s="122"/>
      <c r="V53" s="74"/>
      <c r="W53" s="74" t="b">
        <v>0</v>
      </c>
      <c r="X53" s="74" t="b">
        <v>0</v>
      </c>
      <c r="Y53" s="74" t="b">
        <v>0</v>
      </c>
      <c r="Z53" s="75" t="str">
        <f>IFERROR(__xludf.DUMMYFUNCTION("""COMPUTED_VALUE"""),"")</f>
        <v/>
      </c>
      <c r="AA53" s="75" t="str">
        <f>IFERROR(__xludf.DUMMYFUNCTION("""COMPUTED_VALUE"""),"")</f>
        <v/>
      </c>
      <c r="AB53" s="76" t="str">
        <f>IFERROR(__xludf.DUMMYFUNCTION("""COMPUTED_VALUE"""),"")</f>
        <v/>
      </c>
      <c r="AC53" s="75"/>
      <c r="AD53" s="55"/>
      <c r="AE53" s="55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ht="14.25" customHeight="1">
      <c r="A54" s="74"/>
      <c r="B54" s="97"/>
      <c r="C54" s="98"/>
      <c r="D54" s="109"/>
      <c r="E54" s="78"/>
      <c r="F54" s="121"/>
      <c r="G54" s="99"/>
      <c r="H54" s="100"/>
      <c r="I54" s="84"/>
      <c r="J54" s="101"/>
      <c r="K54" s="88"/>
      <c r="L54" s="102"/>
      <c r="M54" s="103"/>
      <c r="N54" s="104"/>
      <c r="O54" s="69"/>
      <c r="P54" s="70"/>
      <c r="Q54" s="71"/>
      <c r="R54" s="74"/>
      <c r="S54" s="122"/>
      <c r="T54" s="122"/>
      <c r="U54" s="122"/>
      <c r="V54" s="74"/>
      <c r="W54" s="74" t="b">
        <v>0</v>
      </c>
      <c r="X54" s="74" t="b">
        <v>0</v>
      </c>
      <c r="Y54" s="74" t="b">
        <v>0</v>
      </c>
      <c r="Z54" s="75" t="str">
        <f>IFERROR(__xludf.DUMMYFUNCTION("""COMPUTED_VALUE"""),"")</f>
        <v/>
      </c>
      <c r="AA54" s="75" t="str">
        <f>IFERROR(__xludf.DUMMYFUNCTION("""COMPUTED_VALUE"""),"")</f>
        <v/>
      </c>
      <c r="AB54" s="76" t="str">
        <f>IFERROR(__xludf.DUMMYFUNCTION("""COMPUTED_VALUE"""),"")</f>
        <v/>
      </c>
      <c r="AC54" s="55"/>
      <c r="AD54" s="55"/>
      <c r="AE54" s="55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ht="14.25" customHeight="1">
      <c r="A55" s="74"/>
      <c r="B55" s="97"/>
      <c r="C55" s="124"/>
      <c r="D55" s="59"/>
      <c r="E55" s="78"/>
      <c r="F55" s="121"/>
      <c r="G55" s="99"/>
      <c r="H55" s="100"/>
      <c r="I55" s="64"/>
      <c r="J55" s="100"/>
      <c r="K55" s="92"/>
      <c r="L55" s="102"/>
      <c r="M55" s="106"/>
      <c r="N55" s="107"/>
      <c r="O55" s="69"/>
      <c r="P55" s="70"/>
      <c r="Q55" s="71"/>
      <c r="R55" s="74"/>
      <c r="S55" s="122"/>
      <c r="T55" s="122"/>
      <c r="U55" s="122"/>
      <c r="V55" s="74"/>
      <c r="W55" s="74" t="b">
        <v>0</v>
      </c>
      <c r="X55" s="74" t="b">
        <v>0</v>
      </c>
      <c r="Y55" s="74" t="b">
        <v>0</v>
      </c>
      <c r="Z55" s="75" t="str">
        <f>IFERROR(__xludf.DUMMYFUNCTION("""COMPUTED_VALUE"""),"")</f>
        <v/>
      </c>
      <c r="AA55" s="75" t="str">
        <f>IFERROR(__xludf.DUMMYFUNCTION("""COMPUTED_VALUE"""),"")</f>
        <v/>
      </c>
      <c r="AB55" s="76" t="str">
        <f>IFERROR(__xludf.DUMMYFUNCTION("""COMPUTED_VALUE"""),"")</f>
        <v/>
      </c>
      <c r="AC55" s="55"/>
      <c r="AD55" s="55"/>
      <c r="AE55" s="55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ht="14.25" customHeight="1">
      <c r="A56" s="74"/>
      <c r="B56" s="97"/>
      <c r="C56" s="124"/>
      <c r="D56" s="59"/>
      <c r="E56" s="78"/>
      <c r="F56" s="121"/>
      <c r="G56" s="99"/>
      <c r="H56" s="100"/>
      <c r="I56" s="64"/>
      <c r="J56" s="100"/>
      <c r="K56" s="92"/>
      <c r="L56" s="102"/>
      <c r="M56" s="106"/>
      <c r="N56" s="107"/>
      <c r="O56" s="69"/>
      <c r="P56" s="70"/>
      <c r="Q56" s="71"/>
      <c r="R56" s="74"/>
      <c r="S56" s="122"/>
      <c r="T56" s="122"/>
      <c r="U56" s="122"/>
      <c r="V56" s="74"/>
      <c r="W56" s="74" t="b">
        <v>0</v>
      </c>
      <c r="X56" s="74" t="b">
        <v>0</v>
      </c>
      <c r="Y56" s="74" t="b">
        <v>0</v>
      </c>
      <c r="Z56" s="75" t="str">
        <f>IFERROR(__xludf.DUMMYFUNCTION("""COMPUTED_VALUE"""),"")</f>
        <v/>
      </c>
      <c r="AA56" s="75" t="str">
        <f>IFERROR(__xludf.DUMMYFUNCTION("""COMPUTED_VALUE"""),"")</f>
        <v/>
      </c>
      <c r="AB56" s="76" t="str">
        <f>IFERROR(__xludf.DUMMYFUNCTION("""COMPUTED_VALUE"""),"")</f>
        <v/>
      </c>
      <c r="AC56" s="55"/>
      <c r="AD56" s="55"/>
      <c r="AE56" s="55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ht="14.25" customHeight="1">
      <c r="A57" s="74"/>
      <c r="B57" s="97"/>
      <c r="C57" s="124"/>
      <c r="D57" s="59"/>
      <c r="E57" s="78"/>
      <c r="F57" s="121"/>
      <c r="G57" s="99"/>
      <c r="H57" s="100"/>
      <c r="I57" s="64"/>
      <c r="J57" s="100"/>
      <c r="K57" s="92"/>
      <c r="L57" s="102"/>
      <c r="M57" s="106"/>
      <c r="N57" s="107"/>
      <c r="O57" s="69"/>
      <c r="P57" s="70"/>
      <c r="Q57" s="71"/>
      <c r="R57" s="74"/>
      <c r="S57" s="122"/>
      <c r="T57" s="122"/>
      <c r="U57" s="122"/>
      <c r="V57" s="74"/>
      <c r="W57" s="74" t="b">
        <v>0</v>
      </c>
      <c r="X57" s="74" t="b">
        <v>0</v>
      </c>
      <c r="Y57" s="74" t="b">
        <v>0</v>
      </c>
      <c r="Z57" s="75" t="str">
        <f>IFERROR(__xludf.DUMMYFUNCTION("""COMPUTED_VALUE"""),"")</f>
        <v/>
      </c>
      <c r="AA57" s="75" t="str">
        <f>IFERROR(__xludf.DUMMYFUNCTION("""COMPUTED_VALUE"""),"")</f>
        <v/>
      </c>
      <c r="AB57" s="76" t="str">
        <f>IFERROR(__xludf.DUMMYFUNCTION("""COMPUTED_VALUE"""),"")</f>
        <v/>
      </c>
      <c r="AC57" s="55"/>
      <c r="AD57" s="55"/>
      <c r="AE57" s="55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ht="14.25" customHeight="1">
      <c r="A58" s="74"/>
      <c r="B58" s="97"/>
      <c r="C58" s="124"/>
      <c r="D58" s="59"/>
      <c r="E58" s="78"/>
      <c r="F58" s="121"/>
      <c r="G58" s="99"/>
      <c r="H58" s="100"/>
      <c r="I58" s="64"/>
      <c r="J58" s="100"/>
      <c r="K58" s="92"/>
      <c r="L58" s="102"/>
      <c r="M58" s="106"/>
      <c r="N58" s="107"/>
      <c r="O58" s="69"/>
      <c r="P58" s="70"/>
      <c r="Q58" s="71"/>
      <c r="R58" s="74"/>
      <c r="S58" s="122"/>
      <c r="T58" s="122"/>
      <c r="U58" s="122"/>
      <c r="V58" s="74"/>
      <c r="W58" s="74" t="b">
        <v>0</v>
      </c>
      <c r="X58" s="74" t="b">
        <v>0</v>
      </c>
      <c r="Y58" s="74" t="b">
        <v>0</v>
      </c>
      <c r="Z58" s="75" t="str">
        <f>IFERROR(__xludf.DUMMYFUNCTION("""COMPUTED_VALUE"""),"")</f>
        <v/>
      </c>
      <c r="AA58" s="75" t="str">
        <f>IFERROR(__xludf.DUMMYFUNCTION("""COMPUTED_VALUE"""),"")</f>
        <v/>
      </c>
      <c r="AB58" s="76" t="str">
        <f>IFERROR(__xludf.DUMMYFUNCTION("""COMPUTED_VALUE"""),"")</f>
        <v/>
      </c>
      <c r="AC58" s="55"/>
      <c r="AD58" s="55"/>
      <c r="AE58" s="55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ht="14.25" customHeight="1">
      <c r="A59" s="74"/>
      <c r="B59" s="97"/>
      <c r="C59" s="124"/>
      <c r="D59" s="59"/>
      <c r="E59" s="78"/>
      <c r="F59" s="121"/>
      <c r="G59" s="99"/>
      <c r="H59" s="100"/>
      <c r="I59" s="64"/>
      <c r="J59" s="100"/>
      <c r="K59" s="92"/>
      <c r="L59" s="102"/>
      <c r="M59" s="106"/>
      <c r="N59" s="107"/>
      <c r="O59" s="69"/>
      <c r="P59" s="70"/>
      <c r="Q59" s="71"/>
      <c r="R59" s="74"/>
      <c r="S59" s="122"/>
      <c r="T59" s="122"/>
      <c r="U59" s="122"/>
      <c r="V59" s="74"/>
      <c r="W59" s="74" t="b">
        <v>0</v>
      </c>
      <c r="X59" s="74" t="b">
        <v>0</v>
      </c>
      <c r="Y59" s="74" t="b">
        <v>0</v>
      </c>
      <c r="Z59" s="75" t="str">
        <f>IFERROR(__xludf.DUMMYFUNCTION("""COMPUTED_VALUE"""),"")</f>
        <v/>
      </c>
      <c r="AA59" s="75" t="str">
        <f>IFERROR(__xludf.DUMMYFUNCTION("""COMPUTED_VALUE"""),"")</f>
        <v/>
      </c>
      <c r="AB59" s="76" t="str">
        <f>IFERROR(__xludf.DUMMYFUNCTION("""COMPUTED_VALUE"""),"")</f>
        <v/>
      </c>
      <c r="AC59" s="55"/>
      <c r="AD59" s="55"/>
      <c r="AE59" s="55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ht="14.25" customHeight="1">
      <c r="A60" s="74"/>
      <c r="B60" s="97"/>
      <c r="C60" s="124"/>
      <c r="D60" s="59"/>
      <c r="E60" s="78"/>
      <c r="F60" s="121"/>
      <c r="G60" s="99"/>
      <c r="H60" s="100"/>
      <c r="I60" s="64"/>
      <c r="J60" s="100"/>
      <c r="K60" s="92"/>
      <c r="L60" s="102"/>
      <c r="M60" s="106"/>
      <c r="N60" s="107"/>
      <c r="O60" s="69"/>
      <c r="P60" s="70"/>
      <c r="Q60" s="71"/>
      <c r="R60" s="74"/>
      <c r="S60" s="122"/>
      <c r="T60" s="122"/>
      <c r="U60" s="122"/>
      <c r="V60" s="74"/>
      <c r="W60" s="74" t="b">
        <v>0</v>
      </c>
      <c r="X60" s="74" t="b">
        <v>0</v>
      </c>
      <c r="Y60" s="74" t="b">
        <v>0</v>
      </c>
      <c r="Z60" s="75" t="str">
        <f>IFERROR(__xludf.DUMMYFUNCTION("""COMPUTED_VALUE"""),"")</f>
        <v/>
      </c>
      <c r="AA60" s="75" t="str">
        <f>IFERROR(__xludf.DUMMYFUNCTION("""COMPUTED_VALUE"""),"")</f>
        <v/>
      </c>
      <c r="AB60" s="76" t="str">
        <f>IFERROR(__xludf.DUMMYFUNCTION("""COMPUTED_VALUE"""),"")</f>
        <v/>
      </c>
      <c r="AC60" s="55"/>
      <c r="AD60" s="55"/>
      <c r="AE60" s="55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ht="14.25" customHeight="1">
      <c r="A61" s="74"/>
      <c r="B61" s="97"/>
      <c r="C61" s="124"/>
      <c r="D61" s="59"/>
      <c r="E61" s="78"/>
      <c r="F61" s="121"/>
      <c r="G61" s="99"/>
      <c r="H61" s="100"/>
      <c r="I61" s="64"/>
      <c r="J61" s="100"/>
      <c r="K61" s="92"/>
      <c r="L61" s="102"/>
      <c r="M61" s="106"/>
      <c r="N61" s="107"/>
      <c r="O61" s="69"/>
      <c r="P61" s="70"/>
      <c r="Q61" s="71"/>
      <c r="R61" s="74"/>
      <c r="S61" s="122"/>
      <c r="T61" s="122"/>
      <c r="U61" s="122"/>
      <c r="V61" s="74"/>
      <c r="W61" s="74" t="b">
        <v>0</v>
      </c>
      <c r="X61" s="74" t="b">
        <v>0</v>
      </c>
      <c r="Y61" s="74" t="b">
        <v>0</v>
      </c>
      <c r="Z61" s="75" t="str">
        <f>IFERROR(__xludf.DUMMYFUNCTION("""COMPUTED_VALUE"""),"")</f>
        <v/>
      </c>
      <c r="AA61" s="75" t="str">
        <f>IFERROR(__xludf.DUMMYFUNCTION("""COMPUTED_VALUE"""),"")</f>
        <v/>
      </c>
      <c r="AB61" s="76" t="str">
        <f>IFERROR(__xludf.DUMMYFUNCTION("""COMPUTED_VALUE"""),"")</f>
        <v/>
      </c>
      <c r="AC61" s="55"/>
      <c r="AD61" s="55"/>
      <c r="AE61" s="5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ht="14.25" customHeight="1">
      <c r="A62" s="74"/>
      <c r="B62" s="97"/>
      <c r="C62" s="124"/>
      <c r="D62" s="59"/>
      <c r="E62" s="78"/>
      <c r="F62" s="121"/>
      <c r="G62" s="99"/>
      <c r="H62" s="100"/>
      <c r="I62" s="64"/>
      <c r="J62" s="100"/>
      <c r="K62" s="92"/>
      <c r="L62" s="102"/>
      <c r="M62" s="106"/>
      <c r="N62" s="107"/>
      <c r="O62" s="69"/>
      <c r="P62" s="70"/>
      <c r="Q62" s="71"/>
      <c r="R62" s="74"/>
      <c r="S62" s="122"/>
      <c r="T62" s="122"/>
      <c r="U62" s="122"/>
      <c r="V62" s="74"/>
      <c r="W62" s="74" t="b">
        <v>0</v>
      </c>
      <c r="X62" s="74" t="b">
        <v>0</v>
      </c>
      <c r="Y62" s="74" t="b">
        <v>0</v>
      </c>
      <c r="Z62" s="75" t="str">
        <f>IFERROR(__xludf.DUMMYFUNCTION("""COMPUTED_VALUE"""),"")</f>
        <v/>
      </c>
      <c r="AA62" s="75" t="str">
        <f>IFERROR(__xludf.DUMMYFUNCTION("""COMPUTED_VALUE"""),"")</f>
        <v/>
      </c>
      <c r="AB62" s="76" t="str">
        <f>IFERROR(__xludf.DUMMYFUNCTION("""COMPUTED_VALUE"""),"")</f>
        <v/>
      </c>
      <c r="AC62" s="55"/>
      <c r="AD62" s="55"/>
      <c r="AE62" s="55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ht="14.25" customHeight="1">
      <c r="A63" s="74"/>
      <c r="B63" s="97"/>
      <c r="C63" s="124"/>
      <c r="D63" s="59"/>
      <c r="E63" s="78"/>
      <c r="F63" s="121"/>
      <c r="G63" s="99"/>
      <c r="H63" s="100"/>
      <c r="I63" s="64"/>
      <c r="J63" s="100"/>
      <c r="K63" s="92"/>
      <c r="L63" s="102"/>
      <c r="M63" s="106"/>
      <c r="N63" s="107"/>
      <c r="O63" s="69"/>
      <c r="P63" s="70"/>
      <c r="Q63" s="71"/>
      <c r="R63" s="74"/>
      <c r="S63" s="122"/>
      <c r="T63" s="122"/>
      <c r="U63" s="122"/>
      <c r="V63" s="74"/>
      <c r="W63" s="74" t="b">
        <v>0</v>
      </c>
      <c r="X63" s="74" t="b">
        <v>0</v>
      </c>
      <c r="Y63" s="74" t="b">
        <v>0</v>
      </c>
      <c r="Z63" s="75" t="str">
        <f>IFERROR(__xludf.DUMMYFUNCTION("""COMPUTED_VALUE"""),"")</f>
        <v/>
      </c>
      <c r="AA63" s="75" t="str">
        <f>IFERROR(__xludf.DUMMYFUNCTION("""COMPUTED_VALUE"""),"")</f>
        <v/>
      </c>
      <c r="AB63" s="76" t="str">
        <f>IFERROR(__xludf.DUMMYFUNCTION("""COMPUTED_VALUE"""),"")</f>
        <v/>
      </c>
      <c r="AC63" s="55"/>
      <c r="AD63" s="55"/>
      <c r="AE63" s="55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ht="14.25" customHeight="1">
      <c r="A64" s="74"/>
      <c r="B64" s="97"/>
      <c r="C64" s="124"/>
      <c r="D64" s="59"/>
      <c r="E64" s="78"/>
      <c r="F64" s="121"/>
      <c r="G64" s="99"/>
      <c r="H64" s="100"/>
      <c r="I64" s="64"/>
      <c r="J64" s="100"/>
      <c r="K64" s="92"/>
      <c r="L64" s="102"/>
      <c r="M64" s="106"/>
      <c r="N64" s="107"/>
      <c r="O64" s="69"/>
      <c r="P64" s="70"/>
      <c r="Q64" s="71"/>
      <c r="R64" s="74"/>
      <c r="S64" s="122"/>
      <c r="T64" s="122"/>
      <c r="U64" s="122"/>
      <c r="V64" s="74"/>
      <c r="W64" s="74" t="b">
        <v>0</v>
      </c>
      <c r="X64" s="74" t="b">
        <v>0</v>
      </c>
      <c r="Y64" s="74" t="b">
        <v>0</v>
      </c>
      <c r="Z64" s="75" t="str">
        <f>IFERROR(__xludf.DUMMYFUNCTION("""COMPUTED_VALUE"""),"")</f>
        <v/>
      </c>
      <c r="AA64" s="75" t="str">
        <f>IFERROR(__xludf.DUMMYFUNCTION("""COMPUTED_VALUE"""),"")</f>
        <v/>
      </c>
      <c r="AB64" s="76" t="str">
        <f>IFERROR(__xludf.DUMMYFUNCTION("""COMPUTED_VALUE"""),"")</f>
        <v/>
      </c>
      <c r="AC64" s="55"/>
      <c r="AD64" s="55"/>
      <c r="AE64" s="55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ht="14.25" customHeight="1">
      <c r="A65" s="74"/>
      <c r="B65" s="97"/>
      <c r="C65" s="124"/>
      <c r="D65" s="59"/>
      <c r="E65" s="78"/>
      <c r="F65" s="121"/>
      <c r="G65" s="99"/>
      <c r="H65" s="100"/>
      <c r="I65" s="64"/>
      <c r="J65" s="100"/>
      <c r="K65" s="92"/>
      <c r="L65" s="102"/>
      <c r="M65" s="106"/>
      <c r="N65" s="107"/>
      <c r="O65" s="69"/>
      <c r="P65" s="70"/>
      <c r="Q65" s="71"/>
      <c r="R65" s="74"/>
      <c r="S65" s="122"/>
      <c r="T65" s="122"/>
      <c r="U65" s="122"/>
      <c r="V65" s="74"/>
      <c r="W65" s="74" t="b">
        <v>0</v>
      </c>
      <c r="X65" s="74" t="b">
        <v>0</v>
      </c>
      <c r="Y65" s="74" t="b">
        <v>0</v>
      </c>
      <c r="Z65" s="75" t="str">
        <f>IFERROR(__xludf.DUMMYFUNCTION("""COMPUTED_VALUE"""),"")</f>
        <v/>
      </c>
      <c r="AA65" s="75" t="str">
        <f>IFERROR(__xludf.DUMMYFUNCTION("""COMPUTED_VALUE"""),"")</f>
        <v/>
      </c>
      <c r="AB65" s="76" t="str">
        <f>IFERROR(__xludf.DUMMYFUNCTION("""COMPUTED_VALUE"""),"")</f>
        <v/>
      </c>
      <c r="AC65" s="55"/>
      <c r="AD65" s="55"/>
      <c r="AE65" s="55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ht="14.25" customHeight="1">
      <c r="A66" s="74"/>
      <c r="B66" s="97"/>
      <c r="C66" s="124"/>
      <c r="D66" s="59"/>
      <c r="E66" s="78"/>
      <c r="F66" s="121"/>
      <c r="G66" s="99"/>
      <c r="H66" s="100"/>
      <c r="I66" s="64"/>
      <c r="J66" s="100"/>
      <c r="K66" s="92"/>
      <c r="L66" s="102"/>
      <c r="M66" s="106"/>
      <c r="N66" s="107"/>
      <c r="O66" s="69"/>
      <c r="P66" s="70"/>
      <c r="Q66" s="71"/>
      <c r="R66" s="74"/>
      <c r="S66" s="122"/>
      <c r="T66" s="122"/>
      <c r="U66" s="122"/>
      <c r="V66" s="74"/>
      <c r="W66" s="74" t="b">
        <v>0</v>
      </c>
      <c r="X66" s="74" t="b">
        <v>0</v>
      </c>
      <c r="Y66" s="74" t="b">
        <v>0</v>
      </c>
      <c r="Z66" s="75" t="str">
        <f>IFERROR(__xludf.DUMMYFUNCTION("""COMPUTED_VALUE"""),"")</f>
        <v/>
      </c>
      <c r="AA66" s="75" t="str">
        <f>IFERROR(__xludf.DUMMYFUNCTION("""COMPUTED_VALUE"""),"")</f>
        <v/>
      </c>
      <c r="AB66" s="76" t="str">
        <f>IFERROR(__xludf.DUMMYFUNCTION("""COMPUTED_VALUE"""),"")</f>
        <v/>
      </c>
      <c r="AC66" s="55"/>
      <c r="AD66" s="55"/>
      <c r="AE66" s="55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ht="14.25" customHeight="1">
      <c r="A67" s="74"/>
      <c r="B67" s="97"/>
      <c r="C67" s="124"/>
      <c r="D67" s="59"/>
      <c r="E67" s="78"/>
      <c r="F67" s="121"/>
      <c r="G67" s="99"/>
      <c r="H67" s="100"/>
      <c r="I67" s="64"/>
      <c r="J67" s="100"/>
      <c r="K67" s="92"/>
      <c r="L67" s="102"/>
      <c r="M67" s="106"/>
      <c r="N67" s="107"/>
      <c r="O67" s="69"/>
      <c r="P67" s="70"/>
      <c r="Q67" s="71"/>
      <c r="R67" s="74"/>
      <c r="S67" s="122"/>
      <c r="T67" s="122"/>
      <c r="U67" s="122"/>
      <c r="V67" s="74"/>
      <c r="W67" s="74" t="b">
        <v>0</v>
      </c>
      <c r="X67" s="74" t="b">
        <v>0</v>
      </c>
      <c r="Y67" s="74" t="b">
        <v>0</v>
      </c>
      <c r="Z67" s="75" t="str">
        <f>IFERROR(__xludf.DUMMYFUNCTION("""COMPUTED_VALUE"""),"")</f>
        <v/>
      </c>
      <c r="AA67" s="75" t="str">
        <f>IFERROR(__xludf.DUMMYFUNCTION("""COMPUTED_VALUE"""),"")</f>
        <v/>
      </c>
      <c r="AB67" s="76" t="str">
        <f>IFERROR(__xludf.DUMMYFUNCTION("""COMPUTED_VALUE"""),"")</f>
        <v/>
      </c>
      <c r="AC67" s="55"/>
      <c r="AD67" s="55"/>
      <c r="AE67" s="5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ht="14.25" customHeight="1">
      <c r="A68" s="74"/>
      <c r="B68" s="97"/>
      <c r="C68" s="124"/>
      <c r="D68" s="59"/>
      <c r="E68" s="78"/>
      <c r="F68" s="121"/>
      <c r="G68" s="99"/>
      <c r="H68" s="100"/>
      <c r="I68" s="64"/>
      <c r="J68" s="100"/>
      <c r="K68" s="92"/>
      <c r="L68" s="102"/>
      <c r="M68" s="106"/>
      <c r="N68" s="107"/>
      <c r="O68" s="69"/>
      <c r="P68" s="70"/>
      <c r="Q68" s="71"/>
      <c r="R68" s="74"/>
      <c r="S68" s="122"/>
      <c r="T68" s="122"/>
      <c r="U68" s="122"/>
      <c r="V68" s="74"/>
      <c r="W68" s="74" t="b">
        <v>0</v>
      </c>
      <c r="X68" s="74" t="b">
        <v>0</v>
      </c>
      <c r="Y68" s="74" t="b">
        <v>0</v>
      </c>
      <c r="Z68" s="75" t="str">
        <f>IFERROR(__xludf.DUMMYFUNCTION("""COMPUTED_VALUE"""),"")</f>
        <v/>
      </c>
      <c r="AA68" s="75" t="str">
        <f>IFERROR(__xludf.DUMMYFUNCTION("""COMPUTED_VALUE"""),"")</f>
        <v/>
      </c>
      <c r="AB68" s="76" t="str">
        <f>IFERROR(__xludf.DUMMYFUNCTION("""COMPUTED_VALUE"""),"")</f>
        <v/>
      </c>
      <c r="AC68" s="55"/>
      <c r="AD68" s="55"/>
      <c r="AE68" s="55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ht="14.25" customHeight="1">
      <c r="A69" s="74"/>
      <c r="B69" s="97"/>
      <c r="C69" s="124"/>
      <c r="D69" s="59"/>
      <c r="E69" s="78"/>
      <c r="F69" s="121"/>
      <c r="G69" s="99"/>
      <c r="H69" s="100"/>
      <c r="I69" s="64"/>
      <c r="J69" s="100"/>
      <c r="K69" s="92"/>
      <c r="L69" s="102"/>
      <c r="M69" s="106"/>
      <c r="N69" s="107"/>
      <c r="O69" s="69"/>
      <c r="P69" s="70"/>
      <c r="Q69" s="71"/>
      <c r="R69" s="74"/>
      <c r="S69" s="122"/>
      <c r="T69" s="122"/>
      <c r="U69" s="122"/>
      <c r="V69" s="74"/>
      <c r="W69" s="74" t="b">
        <v>0</v>
      </c>
      <c r="X69" s="74" t="b">
        <v>0</v>
      </c>
      <c r="Y69" s="74" t="b">
        <v>0</v>
      </c>
      <c r="Z69" s="75" t="str">
        <f>IFERROR(__xludf.DUMMYFUNCTION("""COMPUTED_VALUE"""),"")</f>
        <v/>
      </c>
      <c r="AA69" s="75" t="str">
        <f>IFERROR(__xludf.DUMMYFUNCTION("""COMPUTED_VALUE"""),"")</f>
        <v/>
      </c>
      <c r="AB69" s="76" t="str">
        <f>IFERROR(__xludf.DUMMYFUNCTION("""COMPUTED_VALUE"""),"")</f>
        <v/>
      </c>
      <c r="AC69" s="55"/>
      <c r="AD69" s="55"/>
      <c r="AE69" s="55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ht="14.25" customHeight="1">
      <c r="A70" s="74"/>
      <c r="B70" s="97"/>
      <c r="C70" s="124"/>
      <c r="D70" s="59"/>
      <c r="E70" s="78"/>
      <c r="F70" s="121"/>
      <c r="G70" s="99"/>
      <c r="H70" s="100"/>
      <c r="I70" s="64"/>
      <c r="J70" s="100"/>
      <c r="K70" s="92"/>
      <c r="L70" s="102"/>
      <c r="M70" s="106"/>
      <c r="N70" s="107"/>
      <c r="O70" s="69"/>
      <c r="P70" s="70"/>
      <c r="Q70" s="71"/>
      <c r="R70" s="74"/>
      <c r="S70" s="122"/>
      <c r="T70" s="122"/>
      <c r="U70" s="122"/>
      <c r="V70" s="74"/>
      <c r="W70" s="74" t="b">
        <v>0</v>
      </c>
      <c r="X70" s="74" t="b">
        <v>0</v>
      </c>
      <c r="Y70" s="74" t="b">
        <v>0</v>
      </c>
      <c r="Z70" s="75" t="str">
        <f>IFERROR(__xludf.DUMMYFUNCTION("""COMPUTED_VALUE"""),"")</f>
        <v/>
      </c>
      <c r="AA70" s="75" t="str">
        <f>IFERROR(__xludf.DUMMYFUNCTION("""COMPUTED_VALUE"""),"")</f>
        <v/>
      </c>
      <c r="AB70" s="76" t="str">
        <f>IFERROR(__xludf.DUMMYFUNCTION("""COMPUTED_VALUE"""),"")</f>
        <v/>
      </c>
      <c r="AC70" s="55"/>
      <c r="AD70" s="55"/>
      <c r="AE70" s="55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ht="14.25" customHeight="1">
      <c r="A71" s="74"/>
      <c r="B71" s="97"/>
      <c r="C71" s="124"/>
      <c r="D71" s="59"/>
      <c r="E71" s="78"/>
      <c r="F71" s="121"/>
      <c r="G71" s="99"/>
      <c r="H71" s="100"/>
      <c r="I71" s="64"/>
      <c r="J71" s="100"/>
      <c r="K71" s="92"/>
      <c r="L71" s="102"/>
      <c r="M71" s="106"/>
      <c r="N71" s="107"/>
      <c r="O71" s="69"/>
      <c r="P71" s="70"/>
      <c r="Q71" s="71"/>
      <c r="R71" s="74"/>
      <c r="S71" s="122"/>
      <c r="T71" s="122"/>
      <c r="U71" s="122"/>
      <c r="V71" s="74"/>
      <c r="W71" s="74" t="b">
        <v>0</v>
      </c>
      <c r="X71" s="74" t="b">
        <v>0</v>
      </c>
      <c r="Y71" s="74" t="b">
        <v>0</v>
      </c>
      <c r="Z71" s="75" t="str">
        <f>IFERROR(__xludf.DUMMYFUNCTION("""COMPUTED_VALUE"""),"")</f>
        <v/>
      </c>
      <c r="AA71" s="75" t="str">
        <f>IFERROR(__xludf.DUMMYFUNCTION("""COMPUTED_VALUE"""),"")</f>
        <v/>
      </c>
      <c r="AB71" s="76" t="str">
        <f>IFERROR(__xludf.DUMMYFUNCTION("""COMPUTED_VALUE"""),"")</f>
        <v/>
      </c>
      <c r="AC71" s="55"/>
      <c r="AD71" s="55"/>
      <c r="AE71" s="55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ht="14.25" customHeight="1">
      <c r="A72" s="74"/>
      <c r="B72" s="97"/>
      <c r="C72" s="124"/>
      <c r="D72" s="59"/>
      <c r="E72" s="78"/>
      <c r="F72" s="121"/>
      <c r="G72" s="99"/>
      <c r="H72" s="100"/>
      <c r="I72" s="64"/>
      <c r="J72" s="100"/>
      <c r="K72" s="92"/>
      <c r="L72" s="102"/>
      <c r="M72" s="106"/>
      <c r="N72" s="107"/>
      <c r="O72" s="69"/>
      <c r="P72" s="70"/>
      <c r="Q72" s="71"/>
      <c r="R72" s="74"/>
      <c r="S72" s="122"/>
      <c r="T72" s="122"/>
      <c r="U72" s="122"/>
      <c r="V72" s="74"/>
      <c r="W72" s="74" t="b">
        <v>0</v>
      </c>
      <c r="X72" s="74" t="b">
        <v>0</v>
      </c>
      <c r="Y72" s="74" t="b">
        <v>0</v>
      </c>
      <c r="Z72" s="75" t="str">
        <f>IFERROR(__xludf.DUMMYFUNCTION("""COMPUTED_VALUE"""),"")</f>
        <v/>
      </c>
      <c r="AA72" s="75" t="str">
        <f>IFERROR(__xludf.DUMMYFUNCTION("""COMPUTED_VALUE"""),"")</f>
        <v/>
      </c>
      <c r="AB72" s="76" t="str">
        <f>IFERROR(__xludf.DUMMYFUNCTION("""COMPUTED_VALUE"""),"")</f>
        <v/>
      </c>
      <c r="AC72" s="55"/>
      <c r="AD72" s="55"/>
      <c r="AE72" s="55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ht="14.25" customHeight="1">
      <c r="A73" s="74"/>
      <c r="B73" s="97"/>
      <c r="C73" s="124"/>
      <c r="D73" s="59"/>
      <c r="E73" s="78"/>
      <c r="F73" s="121"/>
      <c r="G73" s="99"/>
      <c r="H73" s="100"/>
      <c r="I73" s="64"/>
      <c r="J73" s="100"/>
      <c r="K73" s="92"/>
      <c r="L73" s="102"/>
      <c r="M73" s="106"/>
      <c r="N73" s="107"/>
      <c r="O73" s="69"/>
      <c r="P73" s="70"/>
      <c r="Q73" s="71"/>
      <c r="R73" s="74"/>
      <c r="S73" s="122"/>
      <c r="T73" s="122"/>
      <c r="U73" s="122"/>
      <c r="V73" s="74"/>
      <c r="W73" s="74" t="b">
        <v>0</v>
      </c>
      <c r="X73" s="74" t="b">
        <v>0</v>
      </c>
      <c r="Y73" s="74" t="b">
        <v>0</v>
      </c>
      <c r="Z73" s="75" t="str">
        <f>IFERROR(__xludf.DUMMYFUNCTION("""COMPUTED_VALUE"""),"")</f>
        <v/>
      </c>
      <c r="AA73" s="75" t="str">
        <f>IFERROR(__xludf.DUMMYFUNCTION("""COMPUTED_VALUE"""),"")</f>
        <v/>
      </c>
      <c r="AB73" s="76" t="str">
        <f>IFERROR(__xludf.DUMMYFUNCTION("""COMPUTED_VALUE"""),"")</f>
        <v/>
      </c>
      <c r="AC73" s="55"/>
      <c r="AD73" s="55"/>
      <c r="AE73" s="55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ht="14.25" customHeight="1">
      <c r="A74" s="74"/>
      <c r="B74" s="97"/>
      <c r="C74" s="124"/>
      <c r="D74" s="59"/>
      <c r="E74" s="78"/>
      <c r="F74" s="121"/>
      <c r="G74" s="99"/>
      <c r="H74" s="100"/>
      <c r="I74" s="64"/>
      <c r="J74" s="100"/>
      <c r="K74" s="92"/>
      <c r="L74" s="102"/>
      <c r="M74" s="106"/>
      <c r="N74" s="107"/>
      <c r="O74" s="69"/>
      <c r="P74" s="70"/>
      <c r="Q74" s="71"/>
      <c r="R74" s="74"/>
      <c r="S74" s="122"/>
      <c r="T74" s="122"/>
      <c r="U74" s="122"/>
      <c r="V74" s="74"/>
      <c r="W74" s="74" t="b">
        <v>0</v>
      </c>
      <c r="X74" s="74" t="b">
        <v>0</v>
      </c>
      <c r="Y74" s="74" t="b">
        <v>0</v>
      </c>
      <c r="Z74" s="75" t="str">
        <f>IFERROR(__xludf.DUMMYFUNCTION("""COMPUTED_VALUE"""),"")</f>
        <v/>
      </c>
      <c r="AA74" s="75" t="str">
        <f>IFERROR(__xludf.DUMMYFUNCTION("""COMPUTED_VALUE"""),"")</f>
        <v/>
      </c>
      <c r="AB74" s="76" t="str">
        <f>IFERROR(__xludf.DUMMYFUNCTION("""COMPUTED_VALUE"""),"")</f>
        <v/>
      </c>
      <c r="AC74" s="55"/>
      <c r="AD74" s="55"/>
      <c r="AE74" s="55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ht="14.25" customHeight="1">
      <c r="A75" s="74"/>
      <c r="B75" s="97"/>
      <c r="C75" s="124"/>
      <c r="D75" s="59"/>
      <c r="E75" s="78"/>
      <c r="F75" s="121"/>
      <c r="G75" s="99"/>
      <c r="H75" s="100"/>
      <c r="I75" s="64"/>
      <c r="J75" s="100"/>
      <c r="K75" s="92"/>
      <c r="L75" s="102"/>
      <c r="M75" s="106"/>
      <c r="N75" s="107"/>
      <c r="O75" s="69"/>
      <c r="P75" s="70"/>
      <c r="Q75" s="71"/>
      <c r="R75" s="74"/>
      <c r="S75" s="122"/>
      <c r="T75" s="122"/>
      <c r="U75" s="122"/>
      <c r="V75" s="74"/>
      <c r="W75" s="74" t="b">
        <v>0</v>
      </c>
      <c r="X75" s="74" t="b">
        <v>0</v>
      </c>
      <c r="Y75" s="74" t="b">
        <v>0</v>
      </c>
      <c r="Z75" s="75" t="str">
        <f>IFERROR(__xludf.DUMMYFUNCTION("""COMPUTED_VALUE"""),"")</f>
        <v/>
      </c>
      <c r="AA75" s="75" t="str">
        <f>IFERROR(__xludf.DUMMYFUNCTION("""COMPUTED_VALUE"""),"")</f>
        <v/>
      </c>
      <c r="AB75" s="76" t="str">
        <f>IFERROR(__xludf.DUMMYFUNCTION("""COMPUTED_VALUE"""),"")</f>
        <v/>
      </c>
      <c r="AC75" s="55"/>
      <c r="AD75" s="55"/>
      <c r="AE75" s="55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ht="14.25" customHeight="1">
      <c r="A76" s="74"/>
      <c r="B76" s="97"/>
      <c r="C76" s="124"/>
      <c r="D76" s="59"/>
      <c r="E76" s="78"/>
      <c r="F76" s="121"/>
      <c r="G76" s="99"/>
      <c r="H76" s="100"/>
      <c r="I76" s="64"/>
      <c r="J76" s="100"/>
      <c r="K76" s="92"/>
      <c r="L76" s="102"/>
      <c r="M76" s="106"/>
      <c r="N76" s="107"/>
      <c r="O76" s="69"/>
      <c r="P76" s="70"/>
      <c r="Q76" s="71"/>
      <c r="R76" s="74"/>
      <c r="S76" s="122"/>
      <c r="T76" s="122"/>
      <c r="U76" s="122"/>
      <c r="V76" s="74"/>
      <c r="W76" s="74" t="b">
        <v>0</v>
      </c>
      <c r="X76" s="74" t="b">
        <v>0</v>
      </c>
      <c r="Y76" s="74" t="b">
        <v>0</v>
      </c>
      <c r="Z76" s="75" t="str">
        <f>IFERROR(__xludf.DUMMYFUNCTION("""COMPUTED_VALUE"""),"")</f>
        <v/>
      </c>
      <c r="AA76" s="75" t="str">
        <f>IFERROR(__xludf.DUMMYFUNCTION("""COMPUTED_VALUE"""),"")</f>
        <v/>
      </c>
      <c r="AB76" s="76" t="str">
        <f>IFERROR(__xludf.DUMMYFUNCTION("""COMPUTED_VALUE"""),"")</f>
        <v/>
      </c>
      <c r="AC76" s="55"/>
      <c r="AD76" s="55"/>
      <c r="AE76" s="55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ht="14.25" customHeight="1">
      <c r="A77" s="74"/>
      <c r="B77" s="97"/>
      <c r="C77" s="124"/>
      <c r="D77" s="59"/>
      <c r="E77" s="78"/>
      <c r="F77" s="121"/>
      <c r="G77" s="99"/>
      <c r="H77" s="100"/>
      <c r="I77" s="64"/>
      <c r="J77" s="100"/>
      <c r="K77" s="92"/>
      <c r="L77" s="102"/>
      <c r="M77" s="106"/>
      <c r="N77" s="107"/>
      <c r="O77" s="69"/>
      <c r="P77" s="70"/>
      <c r="Q77" s="71"/>
      <c r="R77" s="74"/>
      <c r="S77" s="122"/>
      <c r="T77" s="122"/>
      <c r="U77" s="122"/>
      <c r="V77" s="74"/>
      <c r="W77" s="74" t="b">
        <v>0</v>
      </c>
      <c r="X77" s="74" t="b">
        <v>0</v>
      </c>
      <c r="Y77" s="74" t="b">
        <v>0</v>
      </c>
      <c r="Z77" s="75" t="str">
        <f>IFERROR(__xludf.DUMMYFUNCTION("""COMPUTED_VALUE"""),"")</f>
        <v/>
      </c>
      <c r="AA77" s="75" t="str">
        <f>IFERROR(__xludf.DUMMYFUNCTION("""COMPUTED_VALUE"""),"")</f>
        <v/>
      </c>
      <c r="AB77" s="76" t="str">
        <f>IFERROR(__xludf.DUMMYFUNCTION("""COMPUTED_VALUE"""),"")</f>
        <v/>
      </c>
      <c r="AC77" s="55"/>
      <c r="AD77" s="55"/>
      <c r="AE77" s="55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ht="14.25" customHeight="1">
      <c r="A78" s="74"/>
      <c r="B78" s="97"/>
      <c r="C78" s="124"/>
      <c r="D78" s="59"/>
      <c r="E78" s="78"/>
      <c r="F78" s="121"/>
      <c r="G78" s="99"/>
      <c r="H78" s="100"/>
      <c r="I78" s="64"/>
      <c r="J78" s="100"/>
      <c r="K78" s="92"/>
      <c r="L78" s="102"/>
      <c r="M78" s="106"/>
      <c r="N78" s="107"/>
      <c r="O78" s="69"/>
      <c r="P78" s="70"/>
      <c r="Q78" s="71"/>
      <c r="R78" s="74"/>
      <c r="S78" s="122"/>
      <c r="T78" s="122"/>
      <c r="U78" s="122"/>
      <c r="V78" s="74"/>
      <c r="W78" s="74" t="b">
        <v>0</v>
      </c>
      <c r="X78" s="74" t="b">
        <v>0</v>
      </c>
      <c r="Y78" s="74" t="b">
        <v>0</v>
      </c>
      <c r="Z78" s="75" t="str">
        <f>IFERROR(__xludf.DUMMYFUNCTION("""COMPUTED_VALUE"""),"")</f>
        <v/>
      </c>
      <c r="AA78" s="75" t="str">
        <f>IFERROR(__xludf.DUMMYFUNCTION("""COMPUTED_VALUE"""),"")</f>
        <v/>
      </c>
      <c r="AB78" s="76" t="str">
        <f>IFERROR(__xludf.DUMMYFUNCTION("""COMPUTED_VALUE"""),"")</f>
        <v/>
      </c>
      <c r="AC78" s="55"/>
      <c r="AD78" s="55"/>
      <c r="AE78" s="55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ht="14.25" customHeight="1">
      <c r="A79" s="74"/>
      <c r="B79" s="97"/>
      <c r="C79" s="124"/>
      <c r="D79" s="59"/>
      <c r="E79" s="78"/>
      <c r="F79" s="121"/>
      <c r="G79" s="99"/>
      <c r="H79" s="100"/>
      <c r="I79" s="64"/>
      <c r="J79" s="100"/>
      <c r="K79" s="92"/>
      <c r="L79" s="102"/>
      <c r="M79" s="106"/>
      <c r="N79" s="107"/>
      <c r="O79" s="69"/>
      <c r="P79" s="70"/>
      <c r="Q79" s="71"/>
      <c r="R79" s="74"/>
      <c r="S79" s="122"/>
      <c r="T79" s="122"/>
      <c r="U79" s="122"/>
      <c r="V79" s="74"/>
      <c r="W79" s="74" t="b">
        <v>0</v>
      </c>
      <c r="X79" s="74" t="b">
        <v>0</v>
      </c>
      <c r="Y79" s="74" t="b">
        <v>0</v>
      </c>
      <c r="Z79" s="75" t="str">
        <f>IFERROR(__xludf.DUMMYFUNCTION("""COMPUTED_VALUE"""),"")</f>
        <v/>
      </c>
      <c r="AA79" s="75" t="str">
        <f>IFERROR(__xludf.DUMMYFUNCTION("""COMPUTED_VALUE"""),"")</f>
        <v/>
      </c>
      <c r="AB79" s="76" t="str">
        <f>IFERROR(__xludf.DUMMYFUNCTION("""COMPUTED_VALUE"""),"")</f>
        <v/>
      </c>
      <c r="AC79" s="55"/>
      <c r="AD79" s="55"/>
      <c r="AE79" s="55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ht="14.25" customHeight="1">
      <c r="A80" s="74"/>
      <c r="B80" s="97"/>
      <c r="C80" s="124"/>
      <c r="D80" s="59"/>
      <c r="E80" s="78"/>
      <c r="F80" s="121"/>
      <c r="G80" s="99"/>
      <c r="H80" s="100"/>
      <c r="I80" s="64"/>
      <c r="J80" s="100"/>
      <c r="K80" s="92"/>
      <c r="L80" s="102"/>
      <c r="M80" s="106"/>
      <c r="N80" s="107"/>
      <c r="O80" s="69"/>
      <c r="P80" s="70"/>
      <c r="Q80" s="71"/>
      <c r="R80" s="74"/>
      <c r="S80" s="122"/>
      <c r="T80" s="122"/>
      <c r="U80" s="122"/>
      <c r="V80" s="74"/>
      <c r="W80" s="74" t="b">
        <v>0</v>
      </c>
      <c r="X80" s="74" t="b">
        <v>0</v>
      </c>
      <c r="Y80" s="74" t="b">
        <v>0</v>
      </c>
      <c r="Z80" s="75" t="str">
        <f>IFERROR(__xludf.DUMMYFUNCTION("""COMPUTED_VALUE"""),"")</f>
        <v/>
      </c>
      <c r="AA80" s="75" t="str">
        <f>IFERROR(__xludf.DUMMYFUNCTION("""COMPUTED_VALUE"""),"")</f>
        <v/>
      </c>
      <c r="AB80" s="76" t="str">
        <f>IFERROR(__xludf.DUMMYFUNCTION("""COMPUTED_VALUE"""),"")</f>
        <v/>
      </c>
      <c r="AC80" s="55"/>
      <c r="AD80" s="55"/>
      <c r="AE80" s="55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ht="14.25" customHeight="1">
      <c r="A81" s="74"/>
      <c r="B81" s="97"/>
      <c r="C81" s="124"/>
      <c r="D81" s="59"/>
      <c r="E81" s="78"/>
      <c r="F81" s="121"/>
      <c r="G81" s="99"/>
      <c r="H81" s="100"/>
      <c r="I81" s="64"/>
      <c r="J81" s="100"/>
      <c r="K81" s="92"/>
      <c r="L81" s="102"/>
      <c r="M81" s="106"/>
      <c r="N81" s="107"/>
      <c r="O81" s="69"/>
      <c r="P81" s="70"/>
      <c r="Q81" s="71"/>
      <c r="R81" s="74"/>
      <c r="S81" s="122"/>
      <c r="T81" s="122"/>
      <c r="U81" s="122"/>
      <c r="V81" s="74"/>
      <c r="W81" s="74" t="b">
        <v>0</v>
      </c>
      <c r="X81" s="74" t="b">
        <v>0</v>
      </c>
      <c r="Y81" s="74" t="b">
        <v>0</v>
      </c>
      <c r="Z81" s="75" t="str">
        <f>IFERROR(__xludf.DUMMYFUNCTION("""COMPUTED_VALUE"""),"")</f>
        <v/>
      </c>
      <c r="AA81" s="75" t="str">
        <f>IFERROR(__xludf.DUMMYFUNCTION("""COMPUTED_VALUE"""),"")</f>
        <v/>
      </c>
      <c r="AB81" s="76" t="str">
        <f>IFERROR(__xludf.DUMMYFUNCTION("""COMPUTED_VALUE"""),"")</f>
        <v/>
      </c>
      <c r="AC81" s="55"/>
      <c r="AD81" s="55"/>
      <c r="AE81" s="55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ht="14.25" customHeight="1">
      <c r="A82" s="74"/>
      <c r="B82" s="97"/>
      <c r="C82" s="124"/>
      <c r="D82" s="59"/>
      <c r="E82" s="78"/>
      <c r="F82" s="121"/>
      <c r="G82" s="99"/>
      <c r="H82" s="100"/>
      <c r="I82" s="64"/>
      <c r="J82" s="100"/>
      <c r="K82" s="92"/>
      <c r="L82" s="102"/>
      <c r="M82" s="106"/>
      <c r="N82" s="107"/>
      <c r="O82" s="69"/>
      <c r="P82" s="70"/>
      <c r="Q82" s="71"/>
      <c r="R82" s="74"/>
      <c r="S82" s="122"/>
      <c r="T82" s="122"/>
      <c r="U82" s="122"/>
      <c r="V82" s="74"/>
      <c r="W82" s="74" t="b">
        <v>0</v>
      </c>
      <c r="X82" s="74" t="b">
        <v>0</v>
      </c>
      <c r="Y82" s="74" t="b">
        <v>0</v>
      </c>
      <c r="Z82" s="75" t="str">
        <f>IFERROR(__xludf.DUMMYFUNCTION("""COMPUTED_VALUE"""),"")</f>
        <v/>
      </c>
      <c r="AA82" s="75" t="str">
        <f>IFERROR(__xludf.DUMMYFUNCTION("""COMPUTED_VALUE"""),"")</f>
        <v/>
      </c>
      <c r="AB82" s="76" t="str">
        <f>IFERROR(__xludf.DUMMYFUNCTION("""COMPUTED_VALUE"""),"")</f>
        <v/>
      </c>
      <c r="AC82" s="55"/>
      <c r="AD82" s="55"/>
      <c r="AE82" s="55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ht="14.25" customHeight="1">
      <c r="A83" s="74"/>
      <c r="B83" s="97"/>
      <c r="C83" s="124"/>
      <c r="D83" s="59"/>
      <c r="E83" s="78"/>
      <c r="F83" s="121"/>
      <c r="G83" s="99"/>
      <c r="H83" s="100"/>
      <c r="I83" s="64"/>
      <c r="J83" s="100"/>
      <c r="K83" s="92"/>
      <c r="L83" s="102"/>
      <c r="M83" s="106"/>
      <c r="N83" s="107"/>
      <c r="O83" s="69"/>
      <c r="P83" s="70"/>
      <c r="Q83" s="71"/>
      <c r="R83" s="74"/>
      <c r="S83" s="122"/>
      <c r="T83" s="122"/>
      <c r="U83" s="122"/>
      <c r="V83" s="74"/>
      <c r="W83" s="74" t="b">
        <v>0</v>
      </c>
      <c r="X83" s="74" t="b">
        <v>0</v>
      </c>
      <c r="Y83" s="74" t="b">
        <v>0</v>
      </c>
      <c r="Z83" s="75" t="str">
        <f>IFERROR(__xludf.DUMMYFUNCTION("""COMPUTED_VALUE"""),"")</f>
        <v/>
      </c>
      <c r="AA83" s="75" t="str">
        <f>IFERROR(__xludf.DUMMYFUNCTION("""COMPUTED_VALUE"""),"")</f>
        <v/>
      </c>
      <c r="AB83" s="76" t="str">
        <f>IFERROR(__xludf.DUMMYFUNCTION("""COMPUTED_VALUE"""),"")</f>
        <v/>
      </c>
      <c r="AC83" s="55"/>
      <c r="AD83" s="55"/>
      <c r="AE83" s="55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ht="14.25" customHeight="1" outlineLevel="1">
      <c r="A84" s="74"/>
      <c r="B84" s="97"/>
      <c r="C84" s="105"/>
      <c r="D84" s="59"/>
      <c r="E84" s="201"/>
      <c r="F84" s="99"/>
      <c r="G84" s="99"/>
      <c r="H84" s="100"/>
      <c r="I84" s="64"/>
      <c r="J84" s="100"/>
      <c r="K84" s="92"/>
      <c r="L84" s="102"/>
      <c r="M84" s="106"/>
      <c r="N84" s="107"/>
      <c r="O84" s="69"/>
      <c r="P84" s="70"/>
      <c r="Q84" s="71"/>
      <c r="R84" s="74"/>
      <c r="S84" s="122"/>
      <c r="T84" s="122"/>
      <c r="U84" s="122"/>
      <c r="V84" s="74"/>
      <c r="W84" s="74" t="b">
        <v>0</v>
      </c>
      <c r="X84" s="74" t="b">
        <v>0</v>
      </c>
      <c r="Y84" s="74" t="b">
        <v>0</v>
      </c>
      <c r="Z84" s="75" t="str">
        <f>IFERROR(__xludf.DUMMYFUNCTION("""COMPUTED_VALUE"""),"")</f>
        <v/>
      </c>
      <c r="AA84" s="75" t="str">
        <f>IFERROR(__xludf.DUMMYFUNCTION("""COMPUTED_VALUE"""),"")</f>
        <v/>
      </c>
      <c r="AB84" s="76" t="str">
        <f>IFERROR(__xludf.DUMMYFUNCTION("""COMPUTED_VALUE"""),"")</f>
        <v/>
      </c>
      <c r="AC84" s="55"/>
      <c r="AD84" s="55"/>
      <c r="AE84" s="55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ht="14.25" customHeight="1" outlineLevel="1">
      <c r="A85" s="74"/>
      <c r="B85" s="97"/>
      <c r="C85" s="105"/>
      <c r="D85" s="59"/>
      <c r="E85" s="201"/>
      <c r="F85" s="99"/>
      <c r="G85" s="99"/>
      <c r="H85" s="100"/>
      <c r="I85" s="64"/>
      <c r="J85" s="100"/>
      <c r="K85" s="92"/>
      <c r="L85" s="102"/>
      <c r="M85" s="106"/>
      <c r="N85" s="107"/>
      <c r="O85" s="69"/>
      <c r="P85" s="70"/>
      <c r="Q85" s="71"/>
      <c r="R85" s="74"/>
      <c r="S85" s="122"/>
      <c r="T85" s="122"/>
      <c r="U85" s="122"/>
      <c r="V85" s="74"/>
      <c r="W85" s="74" t="b">
        <v>0</v>
      </c>
      <c r="X85" s="74" t="b">
        <v>0</v>
      </c>
      <c r="Y85" s="74" t="b">
        <v>0</v>
      </c>
      <c r="Z85" s="75" t="str">
        <f>IFERROR(__xludf.DUMMYFUNCTION("""COMPUTED_VALUE"""),"")</f>
        <v/>
      </c>
      <c r="AA85" s="75" t="str">
        <f>IFERROR(__xludf.DUMMYFUNCTION("""COMPUTED_VALUE"""),"")</f>
        <v/>
      </c>
      <c r="AB85" s="76" t="str">
        <f>IFERROR(__xludf.DUMMYFUNCTION("""COMPUTED_VALUE"""),"")</f>
        <v/>
      </c>
      <c r="AC85" s="55"/>
      <c r="AD85" s="55"/>
      <c r="AE85" s="55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ht="14.25" customHeight="1" outlineLevel="1">
      <c r="A86" s="74"/>
      <c r="B86" s="97"/>
      <c r="C86" s="105"/>
      <c r="D86" s="59"/>
      <c r="E86" s="201"/>
      <c r="F86" s="99"/>
      <c r="G86" s="99"/>
      <c r="H86" s="100"/>
      <c r="I86" s="64"/>
      <c r="J86" s="100"/>
      <c r="K86" s="92"/>
      <c r="L86" s="102"/>
      <c r="M86" s="106"/>
      <c r="N86" s="107"/>
      <c r="O86" s="69"/>
      <c r="P86" s="70"/>
      <c r="Q86" s="71"/>
      <c r="R86" s="74"/>
      <c r="S86" s="122"/>
      <c r="T86" s="122"/>
      <c r="U86" s="122"/>
      <c r="V86" s="74"/>
      <c r="W86" s="74" t="b">
        <v>0</v>
      </c>
      <c r="X86" s="74" t="b">
        <v>0</v>
      </c>
      <c r="Y86" s="74" t="b">
        <v>0</v>
      </c>
      <c r="Z86" s="75" t="str">
        <f>IFERROR(__xludf.DUMMYFUNCTION("""COMPUTED_VALUE"""),"")</f>
        <v/>
      </c>
      <c r="AA86" s="75" t="str">
        <f>IFERROR(__xludf.DUMMYFUNCTION("""COMPUTED_VALUE"""),"")</f>
        <v/>
      </c>
      <c r="AB86" s="76" t="str">
        <f>IFERROR(__xludf.DUMMYFUNCTION("""COMPUTED_VALUE"""),"")</f>
        <v/>
      </c>
      <c r="AC86" s="55"/>
      <c r="AD86" s="55"/>
      <c r="AE86" s="55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ht="14.25" customHeight="1" outlineLevel="1">
      <c r="A87" s="74"/>
      <c r="B87" s="97"/>
      <c r="C87" s="105"/>
      <c r="D87" s="59"/>
      <c r="E87" s="201"/>
      <c r="F87" s="99"/>
      <c r="G87" s="99"/>
      <c r="H87" s="100"/>
      <c r="I87" s="64"/>
      <c r="J87" s="100"/>
      <c r="K87" s="92"/>
      <c r="L87" s="102"/>
      <c r="M87" s="106"/>
      <c r="N87" s="107"/>
      <c r="O87" s="69"/>
      <c r="P87" s="70"/>
      <c r="Q87" s="71"/>
      <c r="R87" s="74"/>
      <c r="S87" s="122"/>
      <c r="T87" s="122"/>
      <c r="U87" s="122"/>
      <c r="V87" s="74"/>
      <c r="W87" s="74" t="b">
        <v>0</v>
      </c>
      <c r="X87" s="74" t="b">
        <v>0</v>
      </c>
      <c r="Y87" s="74" t="b">
        <v>0</v>
      </c>
      <c r="Z87" s="75" t="str">
        <f>IFERROR(__xludf.DUMMYFUNCTION("""COMPUTED_VALUE"""),"")</f>
        <v/>
      </c>
      <c r="AA87" s="75" t="str">
        <f>IFERROR(__xludf.DUMMYFUNCTION("""COMPUTED_VALUE"""),"")</f>
        <v/>
      </c>
      <c r="AB87" s="76" t="str">
        <f>IFERROR(__xludf.DUMMYFUNCTION("""COMPUTED_VALUE"""),"")</f>
        <v/>
      </c>
      <c r="AC87" s="55"/>
      <c r="AD87" s="55"/>
      <c r="AE87" s="55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ht="14.25" customHeight="1" outlineLevel="1">
      <c r="A88" s="74"/>
      <c r="B88" s="97"/>
      <c r="C88" s="105"/>
      <c r="D88" s="59"/>
      <c r="E88" s="201"/>
      <c r="F88" s="99"/>
      <c r="G88" s="99"/>
      <c r="H88" s="100"/>
      <c r="I88" s="64"/>
      <c r="J88" s="100"/>
      <c r="K88" s="92"/>
      <c r="L88" s="102"/>
      <c r="M88" s="106"/>
      <c r="N88" s="107"/>
      <c r="O88" s="69"/>
      <c r="P88" s="70"/>
      <c r="Q88" s="71"/>
      <c r="R88" s="74"/>
      <c r="S88" s="122"/>
      <c r="T88" s="122"/>
      <c r="U88" s="122"/>
      <c r="V88" s="74"/>
      <c r="W88" s="74" t="b">
        <v>0</v>
      </c>
      <c r="X88" s="74" t="b">
        <v>0</v>
      </c>
      <c r="Y88" s="74" t="b">
        <v>0</v>
      </c>
      <c r="Z88" s="75" t="str">
        <f>IFERROR(__xludf.DUMMYFUNCTION("""COMPUTED_VALUE"""),"")</f>
        <v/>
      </c>
      <c r="AA88" s="75" t="str">
        <f>IFERROR(__xludf.DUMMYFUNCTION("""COMPUTED_VALUE"""),"")</f>
        <v/>
      </c>
      <c r="AB88" s="76" t="str">
        <f>IFERROR(__xludf.DUMMYFUNCTION("""COMPUTED_VALUE"""),"")</f>
        <v/>
      </c>
      <c r="AC88" s="55"/>
      <c r="AD88" s="55"/>
      <c r="AE88" s="55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ht="14.25" customHeight="1" outlineLevel="1">
      <c r="A89" s="74"/>
      <c r="B89" s="97"/>
      <c r="C89" s="105"/>
      <c r="D89" s="59"/>
      <c r="E89" s="201"/>
      <c r="F89" s="99"/>
      <c r="G89" s="99"/>
      <c r="H89" s="100"/>
      <c r="I89" s="64"/>
      <c r="J89" s="100"/>
      <c r="K89" s="92"/>
      <c r="L89" s="102"/>
      <c r="M89" s="106"/>
      <c r="N89" s="107"/>
      <c r="O89" s="69"/>
      <c r="P89" s="70"/>
      <c r="Q89" s="71"/>
      <c r="R89" s="74"/>
      <c r="S89" s="122"/>
      <c r="T89" s="122"/>
      <c r="U89" s="122"/>
      <c r="V89" s="74"/>
      <c r="W89" s="74" t="b">
        <v>0</v>
      </c>
      <c r="X89" s="74" t="b">
        <v>0</v>
      </c>
      <c r="Y89" s="74" t="b">
        <v>0</v>
      </c>
      <c r="Z89" s="75" t="str">
        <f>IFERROR(__xludf.DUMMYFUNCTION("""COMPUTED_VALUE"""),"")</f>
        <v/>
      </c>
      <c r="AA89" s="75" t="str">
        <f>IFERROR(__xludf.DUMMYFUNCTION("""COMPUTED_VALUE"""),"")</f>
        <v/>
      </c>
      <c r="AB89" s="76" t="str">
        <f>IFERROR(__xludf.DUMMYFUNCTION("""COMPUTED_VALUE"""),"")</f>
        <v/>
      </c>
      <c r="AC89" s="55"/>
      <c r="AD89" s="55"/>
      <c r="AE89" s="55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ht="14.25" customHeight="1" outlineLevel="1">
      <c r="A90" s="74"/>
      <c r="B90" s="97"/>
      <c r="C90" s="105"/>
      <c r="D90" s="59"/>
      <c r="E90" s="201"/>
      <c r="F90" s="99"/>
      <c r="G90" s="99"/>
      <c r="H90" s="100"/>
      <c r="I90" s="64"/>
      <c r="J90" s="100"/>
      <c r="K90" s="92"/>
      <c r="L90" s="102"/>
      <c r="M90" s="106"/>
      <c r="N90" s="107"/>
      <c r="O90" s="69"/>
      <c r="P90" s="70"/>
      <c r="Q90" s="71"/>
      <c r="R90" s="74"/>
      <c r="S90" s="122"/>
      <c r="T90" s="122"/>
      <c r="U90" s="122"/>
      <c r="V90" s="74"/>
      <c r="W90" s="74" t="b">
        <v>0</v>
      </c>
      <c r="X90" s="74" t="b">
        <v>0</v>
      </c>
      <c r="Y90" s="74" t="b">
        <v>0</v>
      </c>
      <c r="Z90" s="75" t="str">
        <f>IFERROR(__xludf.DUMMYFUNCTION("""COMPUTED_VALUE"""),"")</f>
        <v/>
      </c>
      <c r="AA90" s="75" t="str">
        <f>IFERROR(__xludf.DUMMYFUNCTION("""COMPUTED_VALUE"""),"")</f>
        <v/>
      </c>
      <c r="AB90" s="76" t="str">
        <f>IFERROR(__xludf.DUMMYFUNCTION("""COMPUTED_VALUE"""),"")</f>
        <v/>
      </c>
      <c r="AC90" s="55"/>
      <c r="AD90" s="55"/>
      <c r="AE90" s="55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ht="14.25" customHeight="1" outlineLevel="1">
      <c r="A91" s="74"/>
      <c r="B91" s="97"/>
      <c r="C91" s="105"/>
      <c r="D91" s="59"/>
      <c r="E91" s="201"/>
      <c r="F91" s="99"/>
      <c r="G91" s="99"/>
      <c r="H91" s="100"/>
      <c r="I91" s="64"/>
      <c r="J91" s="100"/>
      <c r="K91" s="92"/>
      <c r="L91" s="102"/>
      <c r="M91" s="106"/>
      <c r="N91" s="107"/>
      <c r="O91" s="69"/>
      <c r="P91" s="70"/>
      <c r="Q91" s="71"/>
      <c r="R91" s="74"/>
      <c r="S91" s="122"/>
      <c r="T91" s="122"/>
      <c r="U91" s="122"/>
      <c r="V91" s="74"/>
      <c r="W91" s="74" t="b">
        <v>0</v>
      </c>
      <c r="X91" s="74" t="b">
        <v>0</v>
      </c>
      <c r="Y91" s="74" t="b">
        <v>0</v>
      </c>
      <c r="Z91" s="75" t="str">
        <f>IFERROR(__xludf.DUMMYFUNCTION("""COMPUTED_VALUE"""),"")</f>
        <v/>
      </c>
      <c r="AA91" s="75" t="str">
        <f>IFERROR(__xludf.DUMMYFUNCTION("""COMPUTED_VALUE"""),"")</f>
        <v/>
      </c>
      <c r="AB91" s="76" t="str">
        <f>IFERROR(__xludf.DUMMYFUNCTION("""COMPUTED_VALUE"""),"")</f>
        <v/>
      </c>
      <c r="AC91" s="55"/>
      <c r="AD91" s="55"/>
      <c r="AE91" s="55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ht="14.25" customHeight="1" outlineLevel="1">
      <c r="A92" s="74"/>
      <c r="B92" s="97"/>
      <c r="C92" s="105"/>
      <c r="D92" s="59"/>
      <c r="E92" s="201"/>
      <c r="F92" s="99"/>
      <c r="G92" s="99"/>
      <c r="H92" s="100"/>
      <c r="I92" s="64"/>
      <c r="J92" s="100"/>
      <c r="K92" s="92"/>
      <c r="L92" s="102"/>
      <c r="M92" s="106"/>
      <c r="N92" s="107"/>
      <c r="O92" s="69"/>
      <c r="P92" s="70"/>
      <c r="Q92" s="71"/>
      <c r="R92" s="74"/>
      <c r="S92" s="122"/>
      <c r="T92" s="122"/>
      <c r="U92" s="122"/>
      <c r="V92" s="74"/>
      <c r="W92" s="74" t="b">
        <v>0</v>
      </c>
      <c r="X92" s="74" t="b">
        <v>0</v>
      </c>
      <c r="Y92" s="74" t="b">
        <v>0</v>
      </c>
      <c r="Z92" s="75" t="str">
        <f>IFERROR(__xludf.DUMMYFUNCTION("""COMPUTED_VALUE"""),"")</f>
        <v/>
      </c>
      <c r="AA92" s="75" t="str">
        <f>IFERROR(__xludf.DUMMYFUNCTION("""COMPUTED_VALUE"""),"")</f>
        <v/>
      </c>
      <c r="AB92" s="76" t="str">
        <f>IFERROR(__xludf.DUMMYFUNCTION("""COMPUTED_VALUE"""),"")</f>
        <v/>
      </c>
      <c r="AC92" s="55"/>
      <c r="AD92" s="55"/>
      <c r="AE92" s="55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ht="14.25" customHeight="1" outlineLevel="1">
      <c r="A93" s="74"/>
      <c r="B93" s="97"/>
      <c r="C93" s="105"/>
      <c r="D93" s="59"/>
      <c r="E93" s="201"/>
      <c r="F93" s="99"/>
      <c r="G93" s="99"/>
      <c r="H93" s="100"/>
      <c r="I93" s="64"/>
      <c r="J93" s="100"/>
      <c r="K93" s="92"/>
      <c r="L93" s="102"/>
      <c r="M93" s="106"/>
      <c r="N93" s="107"/>
      <c r="O93" s="69"/>
      <c r="P93" s="70"/>
      <c r="Q93" s="71"/>
      <c r="R93" s="74"/>
      <c r="S93" s="122"/>
      <c r="T93" s="122"/>
      <c r="U93" s="122"/>
      <c r="V93" s="74"/>
      <c r="W93" s="74" t="b">
        <v>0</v>
      </c>
      <c r="X93" s="74" t="b">
        <v>0</v>
      </c>
      <c r="Y93" s="74" t="b">
        <v>0</v>
      </c>
      <c r="Z93" s="75" t="str">
        <f>IFERROR(__xludf.DUMMYFUNCTION("""COMPUTED_VALUE"""),"")</f>
        <v/>
      </c>
      <c r="AA93" s="75" t="str">
        <f>IFERROR(__xludf.DUMMYFUNCTION("""COMPUTED_VALUE"""),"")</f>
        <v/>
      </c>
      <c r="AB93" s="76" t="str">
        <f>IFERROR(__xludf.DUMMYFUNCTION("""COMPUTED_VALUE"""),"")</f>
        <v/>
      </c>
      <c r="AC93" s="55"/>
      <c r="AD93" s="55"/>
      <c r="AE93" s="55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ht="14.25" customHeight="1" outlineLevel="1">
      <c r="A94" s="74"/>
      <c r="B94" s="97"/>
      <c r="C94" s="105"/>
      <c r="D94" s="59"/>
      <c r="E94" s="201"/>
      <c r="F94" s="99"/>
      <c r="G94" s="99"/>
      <c r="H94" s="100"/>
      <c r="I94" s="202"/>
      <c r="J94" s="100"/>
      <c r="K94" s="92"/>
      <c r="L94" s="102"/>
      <c r="M94" s="106"/>
      <c r="N94" s="107"/>
      <c r="O94" s="69"/>
      <c r="P94" s="70"/>
      <c r="Q94" s="71"/>
      <c r="R94" s="74"/>
      <c r="S94" s="122"/>
      <c r="T94" s="122"/>
      <c r="U94" s="122"/>
      <c r="V94" s="74"/>
      <c r="W94" s="74" t="b">
        <v>0</v>
      </c>
      <c r="X94" s="74" t="b">
        <v>0</v>
      </c>
      <c r="Y94" s="74" t="b">
        <v>0</v>
      </c>
      <c r="Z94" s="75" t="str">
        <f>IFERROR(__xludf.DUMMYFUNCTION("""COMPUTED_VALUE"""),"")</f>
        <v/>
      </c>
      <c r="AA94" s="75" t="str">
        <f>IFERROR(__xludf.DUMMYFUNCTION("""COMPUTED_VALUE"""),"")</f>
        <v/>
      </c>
      <c r="AB94" s="76" t="str">
        <f>IFERROR(__xludf.DUMMYFUNCTION("""COMPUTED_VALUE"""),"")</f>
        <v/>
      </c>
      <c r="AC94" s="55"/>
      <c r="AD94" s="55"/>
      <c r="AE94" s="55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ht="14.25" customHeight="1" outlineLevel="1">
      <c r="A95" s="74"/>
      <c r="B95" s="97"/>
      <c r="C95" s="105"/>
      <c r="D95" s="59"/>
      <c r="E95" s="201"/>
      <c r="F95" s="99"/>
      <c r="G95" s="99"/>
      <c r="H95" s="100"/>
      <c r="I95" s="202"/>
      <c r="J95" s="100"/>
      <c r="K95" s="92"/>
      <c r="L95" s="102"/>
      <c r="M95" s="106"/>
      <c r="N95" s="107"/>
      <c r="O95" s="69"/>
      <c r="P95" s="70"/>
      <c r="Q95" s="71"/>
      <c r="R95" s="74"/>
      <c r="S95" s="122"/>
      <c r="T95" s="122"/>
      <c r="U95" s="122"/>
      <c r="V95" s="74"/>
      <c r="W95" s="74" t="b">
        <v>0</v>
      </c>
      <c r="X95" s="74" t="b">
        <v>0</v>
      </c>
      <c r="Y95" s="74" t="b">
        <v>0</v>
      </c>
      <c r="Z95" s="75" t="str">
        <f>IFERROR(__xludf.DUMMYFUNCTION("""COMPUTED_VALUE"""),"")</f>
        <v/>
      </c>
      <c r="AA95" s="75" t="str">
        <f>IFERROR(__xludf.DUMMYFUNCTION("""COMPUTED_VALUE"""),"")</f>
        <v/>
      </c>
      <c r="AB95" s="76" t="str">
        <f>IFERROR(__xludf.DUMMYFUNCTION("""COMPUTED_VALUE"""),"")</f>
        <v/>
      </c>
      <c r="AC95" s="55"/>
      <c r="AD95" s="55"/>
      <c r="AE95" s="55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ht="14.25" customHeight="1" outlineLevel="1">
      <c r="A96" s="74"/>
      <c r="B96" s="97"/>
      <c r="C96" s="105"/>
      <c r="D96" s="59"/>
      <c r="E96" s="201"/>
      <c r="F96" s="99"/>
      <c r="G96" s="110"/>
      <c r="H96" s="100"/>
      <c r="I96" s="202"/>
      <c r="J96" s="100"/>
      <c r="K96" s="92"/>
      <c r="L96" s="102"/>
      <c r="M96" s="106"/>
      <c r="N96" s="107"/>
      <c r="O96" s="69"/>
      <c r="P96" s="70"/>
      <c r="Q96" s="71"/>
      <c r="R96" s="74"/>
      <c r="S96" s="122"/>
      <c r="T96" s="122"/>
      <c r="U96" s="122"/>
      <c r="V96" s="74"/>
      <c r="W96" s="74" t="b">
        <v>0</v>
      </c>
      <c r="X96" s="74" t="b">
        <v>0</v>
      </c>
      <c r="Y96" s="74" t="b">
        <v>0</v>
      </c>
      <c r="Z96" s="75" t="str">
        <f>IFERROR(__xludf.DUMMYFUNCTION("""COMPUTED_VALUE"""),"")</f>
        <v/>
      </c>
      <c r="AA96" s="75" t="str">
        <f>IFERROR(__xludf.DUMMYFUNCTION("""COMPUTED_VALUE"""),"")</f>
        <v/>
      </c>
      <c r="AB96" s="76" t="str">
        <f>IFERROR(__xludf.DUMMYFUNCTION("""COMPUTED_VALUE"""),"")</f>
        <v/>
      </c>
      <c r="AC96" s="55"/>
      <c r="AD96" s="55"/>
      <c r="AE96" s="55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ht="14.25" customHeight="1" outlineLevel="1">
      <c r="A97" s="74"/>
      <c r="B97" s="97"/>
      <c r="C97" s="105"/>
      <c r="D97" s="59"/>
      <c r="E97" s="201"/>
      <c r="F97" s="99"/>
      <c r="G97" s="110"/>
      <c r="H97" s="100"/>
      <c r="I97" s="202"/>
      <c r="J97" s="100"/>
      <c r="K97" s="92"/>
      <c r="L97" s="102"/>
      <c r="M97" s="106"/>
      <c r="N97" s="107"/>
      <c r="O97" s="69"/>
      <c r="P97" s="70"/>
      <c r="Q97" s="71"/>
      <c r="R97" s="74"/>
      <c r="S97" s="122"/>
      <c r="T97" s="122"/>
      <c r="U97" s="122"/>
      <c r="V97" s="74"/>
      <c r="W97" s="74" t="b">
        <v>0</v>
      </c>
      <c r="X97" s="74" t="b">
        <v>0</v>
      </c>
      <c r="Y97" s="74" t="b">
        <v>0</v>
      </c>
      <c r="Z97" s="75" t="str">
        <f>IFERROR(__xludf.DUMMYFUNCTION("""COMPUTED_VALUE"""),"")</f>
        <v/>
      </c>
      <c r="AA97" s="75" t="str">
        <f>IFERROR(__xludf.DUMMYFUNCTION("""COMPUTED_VALUE"""),"")</f>
        <v/>
      </c>
      <c r="AB97" s="76" t="str">
        <f>IFERROR(__xludf.DUMMYFUNCTION("""COMPUTED_VALUE"""),"")</f>
        <v/>
      </c>
      <c r="AC97" s="55"/>
      <c r="AD97" s="55"/>
      <c r="AE97" s="55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ht="14.25" customHeight="1" outlineLevel="1">
      <c r="A98" s="74"/>
      <c r="B98" s="97"/>
      <c r="C98" s="98"/>
      <c r="D98" s="109"/>
      <c r="E98" s="201"/>
      <c r="F98" s="99"/>
      <c r="G98" s="99"/>
      <c r="H98" s="100"/>
      <c r="I98" s="84"/>
      <c r="J98" s="101"/>
      <c r="K98" s="88"/>
      <c r="L98" s="102"/>
      <c r="M98" s="103"/>
      <c r="N98" s="104"/>
      <c r="O98" s="69"/>
      <c r="P98" s="70"/>
      <c r="Q98" s="71"/>
      <c r="R98" s="74"/>
      <c r="S98" s="122"/>
      <c r="T98" s="122"/>
      <c r="U98" s="122"/>
      <c r="V98" s="74"/>
      <c r="W98" s="74" t="b">
        <v>0</v>
      </c>
      <c r="X98" s="74" t="b">
        <v>0</v>
      </c>
      <c r="Y98" s="74" t="b">
        <v>0</v>
      </c>
      <c r="Z98" s="75" t="str">
        <f>IFERROR(__xludf.DUMMYFUNCTION("""COMPUTED_VALUE"""),"")</f>
        <v/>
      </c>
      <c r="AA98" s="75" t="str">
        <f>IFERROR(__xludf.DUMMYFUNCTION("""COMPUTED_VALUE"""),"")</f>
        <v/>
      </c>
      <c r="AB98" s="76" t="str">
        <f>IFERROR(__xludf.DUMMYFUNCTION("""COMPUTED_VALUE"""),"")</f>
        <v/>
      </c>
      <c r="AC98" s="55"/>
      <c r="AD98" s="55"/>
      <c r="AE98" s="55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ht="14.25" customHeight="1" outlineLevel="1">
      <c r="A99" s="74"/>
      <c r="B99" s="97"/>
      <c r="C99" s="105"/>
      <c r="D99" s="117"/>
      <c r="E99" s="78"/>
      <c r="F99" s="121"/>
      <c r="G99" s="99"/>
      <c r="H99" s="100"/>
      <c r="I99" s="63"/>
      <c r="J99" s="101"/>
      <c r="K99" s="88"/>
      <c r="L99" s="102"/>
      <c r="M99" s="88"/>
      <c r="N99" s="107"/>
      <c r="O99" s="69"/>
      <c r="P99" s="83"/>
      <c r="Q99" s="71"/>
      <c r="R99" s="74"/>
      <c r="S99" s="122"/>
      <c r="T99" s="122"/>
      <c r="U99" s="122"/>
      <c r="V99" s="74"/>
      <c r="W99" s="74" t="b">
        <v>0</v>
      </c>
      <c r="X99" s="74" t="b">
        <v>0</v>
      </c>
      <c r="Y99" s="74" t="b">
        <v>0</v>
      </c>
      <c r="Z99" s="75" t="str">
        <f>IFERROR(__xludf.DUMMYFUNCTION("""COMPUTED_VALUE"""),"")</f>
        <v/>
      </c>
      <c r="AA99" s="75" t="str">
        <f>IFERROR(__xludf.DUMMYFUNCTION("""COMPUTED_VALUE"""),"")</f>
        <v/>
      </c>
      <c r="AB99" s="76" t="str">
        <f>IFERROR(__xludf.DUMMYFUNCTION("""COMPUTED_VALUE"""),"")</f>
        <v/>
      </c>
      <c r="AC99" s="55"/>
      <c r="AD99" s="55"/>
      <c r="AE99" s="55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ht="18.75" customHeight="1">
      <c r="A100" s="48"/>
      <c r="B100" s="49"/>
      <c r="C100" s="50"/>
      <c r="D100" s="128"/>
      <c r="E100" s="128"/>
      <c r="F100" s="52"/>
      <c r="G100" s="48" t="s">
        <v>142</v>
      </c>
      <c r="H100" s="53"/>
      <c r="I100" s="203">
        <f>SUM(I12:I99)</f>
        <v>2</v>
      </c>
      <c r="J100" s="53"/>
      <c r="K100" s="48"/>
      <c r="L100" s="53"/>
      <c r="M100" s="53"/>
      <c r="N100" s="53"/>
      <c r="O100" s="53"/>
      <c r="P100" s="50"/>
      <c r="Q100" s="50"/>
      <c r="R100" s="53"/>
      <c r="S100" s="54"/>
      <c r="T100" s="54"/>
      <c r="U100" s="54"/>
      <c r="V100" s="50"/>
      <c r="W100" s="50"/>
      <c r="X100" s="50"/>
      <c r="Y100" s="50"/>
      <c r="Z100" s="55" t="str">
        <f>IFERROR(__xludf.DUMMYFUNCTION("""COMPUTED_VALUE"""),"")</f>
        <v/>
      </c>
      <c r="AA100" s="55" t="str">
        <f>IFERROR(__xludf.DUMMYFUNCTION("""COMPUTED_VALUE"""),"")</f>
        <v/>
      </c>
      <c r="AB100" s="55" t="str">
        <f>IFERROR(__xludf.DUMMYFUNCTION("""COMPUTED_VALUE"""),"")</f>
        <v/>
      </c>
      <c r="AC100" s="55"/>
      <c r="AD100" s="55"/>
      <c r="AE100" s="55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ht="52.5" customHeight="1">
      <c r="A101" s="129"/>
      <c r="B101" s="129"/>
      <c r="C101" s="105"/>
      <c r="D101" s="78"/>
      <c r="E101" s="78"/>
      <c r="F101" s="121"/>
      <c r="G101" s="130"/>
      <c r="H101" s="107"/>
      <c r="I101" s="107"/>
      <c r="J101" s="107"/>
      <c r="K101" s="107"/>
      <c r="L101" s="107"/>
      <c r="M101" s="107"/>
      <c r="N101" s="107"/>
      <c r="O101" s="69"/>
      <c r="P101" s="131"/>
      <c r="Q101" s="131"/>
      <c r="R101" s="131"/>
      <c r="S101" s="116"/>
      <c r="T101" s="116"/>
      <c r="U101" s="116"/>
      <c r="V101" s="116"/>
      <c r="W101" s="131"/>
      <c r="X101" s="131"/>
      <c r="Y101" s="131"/>
      <c r="Z101" s="55" t="str">
        <f>IFERROR(__xludf.DUMMYFUNCTION("""COMPUTED_VALUE"""),"")</f>
        <v/>
      </c>
      <c r="AA101" s="55" t="str">
        <f>IFERROR(__xludf.DUMMYFUNCTION("""COMPUTED_VALUE"""),"")</f>
        <v/>
      </c>
      <c r="AB101" s="55" t="str">
        <f>IFERROR(__xludf.DUMMYFUNCTION("""COMPUTED_VALUE"""),"")</f>
        <v/>
      </c>
      <c r="AC101" s="55"/>
      <c r="AD101" s="55"/>
      <c r="AE101" s="55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ht="48.75" customHeight="1">
      <c r="A102" s="132" t="s">
        <v>16</v>
      </c>
      <c r="B102" s="49" t="s">
        <v>17</v>
      </c>
      <c r="C102" s="50" t="s">
        <v>18</v>
      </c>
      <c r="D102" s="50" t="s">
        <v>19</v>
      </c>
      <c r="E102" s="128" t="s">
        <v>20</v>
      </c>
      <c r="F102" s="52" t="s">
        <v>21</v>
      </c>
      <c r="G102" s="48" t="s">
        <v>143</v>
      </c>
      <c r="H102" s="53" t="s">
        <v>23</v>
      </c>
      <c r="I102" s="53" t="s">
        <v>24</v>
      </c>
      <c r="J102" s="53" t="s">
        <v>3</v>
      </c>
      <c r="K102" s="48" t="s">
        <v>4</v>
      </c>
      <c r="L102" s="53" t="s">
        <v>5</v>
      </c>
      <c r="M102" s="53" t="s">
        <v>6</v>
      </c>
      <c r="N102" s="53" t="s">
        <v>7</v>
      </c>
      <c r="O102" s="53" t="s">
        <v>8</v>
      </c>
      <c r="P102" s="50" t="s">
        <v>144</v>
      </c>
      <c r="Q102" s="50" t="s">
        <v>145</v>
      </c>
      <c r="R102" s="50" t="s">
        <v>13</v>
      </c>
      <c r="S102" s="133" t="s">
        <v>146</v>
      </c>
      <c r="T102" s="54" t="s">
        <v>147</v>
      </c>
      <c r="U102" s="54" t="s">
        <v>148</v>
      </c>
      <c r="V102" s="50" t="s">
        <v>28</v>
      </c>
      <c r="W102" s="50" t="s">
        <v>29</v>
      </c>
      <c r="X102" s="50" t="s">
        <v>30</v>
      </c>
      <c r="Y102" s="50" t="s">
        <v>31</v>
      </c>
      <c r="Z102" s="55" t="str">
        <f>IFERROR(__xludf.DUMMYFUNCTION("""COMPUTED_VALUE"""),"#REF!")</f>
        <v>#REF!</v>
      </c>
      <c r="AA102" s="55" t="str">
        <f>IFERROR(__xludf.DUMMYFUNCTION("""COMPUTED_VALUE"""),"#REF!")</f>
        <v>#REF!</v>
      </c>
      <c r="AB102" s="55" t="str">
        <f>IFERROR(__xludf.DUMMYFUNCTION("""COMPUTED_VALUE"""),"#REF!")</f>
        <v>#REF!</v>
      </c>
      <c r="AC102" s="55"/>
      <c r="AD102" s="55"/>
      <c r="AE102" s="55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ht="14.25" customHeight="1">
      <c r="A103" s="152" t="s">
        <v>13</v>
      </c>
      <c r="B103" s="135" t="s">
        <v>627</v>
      </c>
      <c r="C103" s="77">
        <v>46175.0</v>
      </c>
      <c r="D103" s="204">
        <v>111000.0</v>
      </c>
      <c r="E103" s="136">
        <v>26.10673</v>
      </c>
      <c r="F103" s="60">
        <v>26.36362</v>
      </c>
      <c r="G103" s="62" t="s">
        <v>628</v>
      </c>
      <c r="H103" s="154" t="s">
        <v>106</v>
      </c>
      <c r="I103" s="155">
        <v>1.0</v>
      </c>
      <c r="J103" s="85">
        <v>2.87</v>
      </c>
      <c r="K103" s="80" t="s">
        <v>188</v>
      </c>
      <c r="L103" s="66" t="s">
        <v>629</v>
      </c>
      <c r="M103" s="156">
        <v>50.0</v>
      </c>
      <c r="N103" s="150">
        <v>0.19299999999999998</v>
      </c>
      <c r="O103" s="87">
        <v>2.8314</v>
      </c>
      <c r="P103" s="142" t="s">
        <v>298</v>
      </c>
      <c r="Q103" s="143" t="s">
        <v>154</v>
      </c>
      <c r="R103" s="74" t="s">
        <v>630</v>
      </c>
      <c r="S103" s="145"/>
      <c r="T103" s="146">
        <f t="shared" ref="T103:T331" si="10">U103*60%</f>
        <v>180</v>
      </c>
      <c r="U103" s="146">
        <f>round((O103*69)+(550*N103),-1)</f>
        <v>300</v>
      </c>
      <c r="V103" s="147" t="s">
        <v>38</v>
      </c>
      <c r="W103" s="74" t="b">
        <v>0</v>
      </c>
      <c r="X103" s="74" t="b">
        <v>0</v>
      </c>
      <c r="Y103" s="74" t="b">
        <v>0</v>
      </c>
      <c r="Z103" s="148" t="str">
        <f>IFERROR(__xludf.DUMMYFUNCTION("""COMPUTED_VALUE"""),"#REF!")</f>
        <v>#REF!</v>
      </c>
      <c r="AA103" s="148" t="str">
        <f>IFERROR(__xludf.DUMMYFUNCTION("""COMPUTED_VALUE"""),"#REF!")</f>
        <v>#REF!</v>
      </c>
      <c r="AB103" s="148" t="str">
        <f>IFERROR(__xludf.DUMMYFUNCTION("""COMPUTED_VALUE"""),"#REF!")</f>
        <v>#REF!</v>
      </c>
      <c r="AC103" s="153">
        <f t="array" ref="AC103:AC332">C103:C332</f>
        <v>46175</v>
      </c>
      <c r="AD103" s="148"/>
      <c r="AE103" s="47">
        <f t="array" ref="AE103:AE332">D103:D332</f>
        <v>111000</v>
      </c>
      <c r="AF103" s="148" t="str">
        <f t="array" ref="AF103:AF332">"SO" &amp;E103:E332&amp;"-MO"&amp;F103:F332</f>
        <v>SO26.10673-MO26.36362</v>
      </c>
      <c r="AG103" s="148"/>
      <c r="AH103" s="148" t="str">
        <f t="array" ref="AH103:AH332">G103:G332</f>
        <v>LGRIMT: 14KY 50RD/0.193cts 2.87gr B12872-13.33*7.05mm Size: 5</v>
      </c>
      <c r="AI103" s="148" t="str">
        <f t="array" ref="AI103:AJ332">Z103:AA332</f>
        <v>#REF!</v>
      </c>
      <c r="AJ103" s="148" t="e">
        <v>#REF!</v>
      </c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</row>
    <row r="104" ht="14.25" customHeight="1">
      <c r="A104" s="152" t="s">
        <v>13</v>
      </c>
      <c r="B104" s="135" t="s">
        <v>627</v>
      </c>
      <c r="C104" s="77">
        <v>46175.0</v>
      </c>
      <c r="D104" s="161"/>
      <c r="E104" s="136">
        <v>25.9967</v>
      </c>
      <c r="F104" s="60">
        <v>26.36616</v>
      </c>
      <c r="G104" s="62" t="s">
        <v>631</v>
      </c>
      <c r="H104" s="154" t="s">
        <v>208</v>
      </c>
      <c r="I104" s="155">
        <v>1.0</v>
      </c>
      <c r="J104" s="85">
        <v>1.5</v>
      </c>
      <c r="K104" s="80" t="s">
        <v>632</v>
      </c>
      <c r="L104" s="66" t="s">
        <v>633</v>
      </c>
      <c r="M104" s="156"/>
      <c r="N104" s="150"/>
      <c r="O104" s="87">
        <v>1.5</v>
      </c>
      <c r="P104" s="151" t="s">
        <v>153</v>
      </c>
      <c r="Q104" s="143" t="s">
        <v>154</v>
      </c>
      <c r="R104" s="74" t="s">
        <v>630</v>
      </c>
      <c r="S104" s="145"/>
      <c r="T104" s="146">
        <f t="shared" si="10"/>
        <v>42</v>
      </c>
      <c r="U104" s="146">
        <f>round((O104*48)+(550*N104),-1)</f>
        <v>70</v>
      </c>
      <c r="V104" s="147" t="s">
        <v>38</v>
      </c>
      <c r="W104" s="74" t="b">
        <v>0</v>
      </c>
      <c r="X104" s="74" t="b">
        <v>0</v>
      </c>
      <c r="Y104" s="74" t="b">
        <v>0</v>
      </c>
      <c r="Z104" s="148" t="str">
        <f>IFERROR(__xludf.DUMMYFUNCTION("""COMPUTED_VALUE"""),"#REF!")</f>
        <v>#REF!</v>
      </c>
      <c r="AA104" s="148" t="str">
        <f>IFERROR(__xludf.DUMMYFUNCTION("""COMPUTED_VALUE"""),"#REF!")</f>
        <v>#REF!</v>
      </c>
      <c r="AB104" s="148" t="str">
        <f>IFERROR(__xludf.DUMMYFUNCTION("""COMPUTED_VALUE"""),"#REF!")</f>
        <v>#REF!</v>
      </c>
      <c r="AC104" s="153">
        <v>46175.0</v>
      </c>
      <c r="AD104" s="148"/>
      <c r="AE104" s="47"/>
      <c r="AF104" s="148" t="s">
        <v>634</v>
      </c>
      <c r="AG104" s="148"/>
      <c r="AH104" s="148" t="s">
        <v>631</v>
      </c>
      <c r="AI104" s="148" t="e">
        <v>#REF!</v>
      </c>
      <c r="AJ104" s="148" t="e">
        <v>#REF!</v>
      </c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</row>
    <row r="105" ht="14.25" customHeight="1">
      <c r="A105" s="152" t="s">
        <v>13</v>
      </c>
      <c r="B105" s="135" t="s">
        <v>627</v>
      </c>
      <c r="C105" s="77">
        <v>46175.0</v>
      </c>
      <c r="D105" s="161"/>
      <c r="E105" s="136">
        <v>26.10845</v>
      </c>
      <c r="F105" s="60">
        <v>26.36629</v>
      </c>
      <c r="G105" s="62" t="s">
        <v>635</v>
      </c>
      <c r="H105" s="63" t="s">
        <v>34</v>
      </c>
      <c r="I105" s="155">
        <v>1.0</v>
      </c>
      <c r="J105" s="85">
        <v>2.94</v>
      </c>
      <c r="K105" s="80" t="s">
        <v>269</v>
      </c>
      <c r="L105" s="66" t="s">
        <v>636</v>
      </c>
      <c r="M105" s="156"/>
      <c r="N105" s="150"/>
      <c r="O105" s="87">
        <v>2.94</v>
      </c>
      <c r="P105" s="151" t="s">
        <v>153</v>
      </c>
      <c r="Q105" s="143" t="s">
        <v>154</v>
      </c>
      <c r="R105" s="74" t="s">
        <v>630</v>
      </c>
      <c r="S105" s="145"/>
      <c r="T105" s="146">
        <f t="shared" si="10"/>
        <v>156</v>
      </c>
      <c r="U105" s="146">
        <f>round((O105*89)+(550*N105),-1)</f>
        <v>260</v>
      </c>
      <c r="V105" s="147" t="s">
        <v>38</v>
      </c>
      <c r="W105" s="74" t="b">
        <v>0</v>
      </c>
      <c r="X105" s="74" t="b">
        <v>0</v>
      </c>
      <c r="Y105" s="74" t="b">
        <v>0</v>
      </c>
      <c r="Z105" s="148" t="str">
        <f>IFERROR(__xludf.DUMMYFUNCTION("""COMPUTED_VALUE"""),"#REF!")</f>
        <v>#REF!</v>
      </c>
      <c r="AA105" s="148" t="str">
        <f>IFERROR(__xludf.DUMMYFUNCTION("""COMPUTED_VALUE"""),"#REF!")</f>
        <v>#REF!</v>
      </c>
      <c r="AB105" s="148" t="str">
        <f>IFERROR(__xludf.DUMMYFUNCTION("""COMPUTED_VALUE"""),"#REF!")</f>
        <v>#REF!</v>
      </c>
      <c r="AC105" s="153">
        <v>46175.0</v>
      </c>
      <c r="AD105" s="148"/>
      <c r="AE105" s="47"/>
      <c r="AF105" s="148" t="s">
        <v>637</v>
      </c>
      <c r="AG105" s="148"/>
      <c r="AH105" s="148" t="s">
        <v>635</v>
      </c>
      <c r="AI105" s="148" t="e">
        <v>#REF!</v>
      </c>
      <c r="AJ105" s="148" t="e">
        <v>#REF!</v>
      </c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</row>
    <row r="106" ht="14.25" customHeight="1">
      <c r="A106" s="152" t="s">
        <v>13</v>
      </c>
      <c r="B106" s="135" t="s">
        <v>627</v>
      </c>
      <c r="C106" s="77">
        <v>46175.0</v>
      </c>
      <c r="D106" s="161"/>
      <c r="E106" s="136">
        <v>26.10675</v>
      </c>
      <c r="F106" s="60">
        <v>26.36409</v>
      </c>
      <c r="G106" s="62" t="s">
        <v>638</v>
      </c>
      <c r="H106" s="63" t="s">
        <v>45</v>
      </c>
      <c r="I106" s="155">
        <v>1.0</v>
      </c>
      <c r="J106" s="85">
        <v>2.13</v>
      </c>
      <c r="K106" s="80" t="s">
        <v>188</v>
      </c>
      <c r="L106" s="66" t="s">
        <v>639</v>
      </c>
      <c r="M106" s="156">
        <v>8.0</v>
      </c>
      <c r="N106" s="150">
        <v>0.265</v>
      </c>
      <c r="O106" s="87">
        <v>2.077</v>
      </c>
      <c r="P106" s="151" t="s">
        <v>153</v>
      </c>
      <c r="Q106" s="143" t="s">
        <v>154</v>
      </c>
      <c r="R106" s="74" t="s">
        <v>630</v>
      </c>
      <c r="S106" s="145"/>
      <c r="T106" s="146">
        <f t="shared" si="10"/>
        <v>114</v>
      </c>
      <c r="U106" s="146">
        <f t="shared" ref="U106:U107" si="11">round((O106*89)+(10*N106),-1)</f>
        <v>190</v>
      </c>
      <c r="V106" s="147" t="s">
        <v>38</v>
      </c>
      <c r="W106" s="74" t="b">
        <v>0</v>
      </c>
      <c r="X106" s="74" t="b">
        <v>0</v>
      </c>
      <c r="Y106" s="74" t="b">
        <v>0</v>
      </c>
      <c r="Z106" s="148" t="str">
        <f>IFERROR(__xludf.DUMMYFUNCTION("""COMPUTED_VALUE"""),"#REF!")</f>
        <v>#REF!</v>
      </c>
      <c r="AA106" s="148" t="str">
        <f>IFERROR(__xludf.DUMMYFUNCTION("""COMPUTED_VALUE"""),"#REF!")</f>
        <v>#REF!</v>
      </c>
      <c r="AB106" s="148" t="str">
        <f>IFERROR(__xludf.DUMMYFUNCTION("""COMPUTED_VALUE"""),"#REF!")</f>
        <v>#REF!</v>
      </c>
      <c r="AC106" s="153">
        <v>46175.0</v>
      </c>
      <c r="AD106" s="148"/>
      <c r="AE106" s="47"/>
      <c r="AF106" s="148" t="s">
        <v>640</v>
      </c>
      <c r="AG106" s="148"/>
      <c r="AH106" s="148" t="s">
        <v>638</v>
      </c>
      <c r="AI106" s="148" t="e">
        <v>#REF!</v>
      </c>
      <c r="AJ106" s="148" t="e">
        <v>#REF!</v>
      </c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</row>
    <row r="107" ht="14.25" customHeight="1">
      <c r="A107" s="152" t="s">
        <v>13</v>
      </c>
      <c r="B107" s="135" t="s">
        <v>627</v>
      </c>
      <c r="C107" s="77">
        <v>46175.0</v>
      </c>
      <c r="D107" s="161"/>
      <c r="E107" s="136">
        <v>26.10818</v>
      </c>
      <c r="F107" s="60">
        <v>26.36603</v>
      </c>
      <c r="G107" s="62" t="s">
        <v>641</v>
      </c>
      <c r="H107" s="63" t="s">
        <v>45</v>
      </c>
      <c r="I107" s="155">
        <v>1.0</v>
      </c>
      <c r="J107" s="85">
        <v>4.62</v>
      </c>
      <c r="K107" s="80" t="s">
        <v>188</v>
      </c>
      <c r="L107" s="66" t="s">
        <v>642</v>
      </c>
      <c r="M107" s="156">
        <v>12.0</v>
      </c>
      <c r="N107" s="150">
        <v>0.571</v>
      </c>
      <c r="O107" s="87">
        <v>4.5058</v>
      </c>
      <c r="P107" s="151" t="s">
        <v>153</v>
      </c>
      <c r="Q107" s="143" t="s">
        <v>154</v>
      </c>
      <c r="R107" s="74" t="s">
        <v>630</v>
      </c>
      <c r="S107" s="145"/>
      <c r="T107" s="146">
        <f t="shared" si="10"/>
        <v>246</v>
      </c>
      <c r="U107" s="146">
        <f t="shared" si="11"/>
        <v>410</v>
      </c>
      <c r="V107" s="147" t="s">
        <v>38</v>
      </c>
      <c r="W107" s="74" t="b">
        <v>0</v>
      </c>
      <c r="X107" s="74" t="b">
        <v>0</v>
      </c>
      <c r="Y107" s="74" t="b">
        <v>0</v>
      </c>
      <c r="Z107" s="148" t="str">
        <f>IFERROR(__xludf.DUMMYFUNCTION("""COMPUTED_VALUE"""),"#REF!")</f>
        <v>#REF!</v>
      </c>
      <c r="AA107" s="148" t="str">
        <f>IFERROR(__xludf.DUMMYFUNCTION("""COMPUTED_VALUE"""),"#REF!")</f>
        <v>#REF!</v>
      </c>
      <c r="AB107" s="148" t="str">
        <f>IFERROR(__xludf.DUMMYFUNCTION("""COMPUTED_VALUE"""),"#REF!")</f>
        <v>#REF!</v>
      </c>
      <c r="AC107" s="153">
        <v>46175.0</v>
      </c>
      <c r="AD107" s="148"/>
      <c r="AE107" s="47"/>
      <c r="AF107" s="148" t="s">
        <v>643</v>
      </c>
      <c r="AG107" s="148"/>
      <c r="AH107" s="148" t="s">
        <v>641</v>
      </c>
      <c r="AI107" s="148" t="e">
        <v>#REF!</v>
      </c>
      <c r="AJ107" s="148" t="e">
        <v>#REF!</v>
      </c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</row>
    <row r="108" ht="14.25" customHeight="1">
      <c r="A108" s="152" t="s">
        <v>13</v>
      </c>
      <c r="B108" s="135" t="s">
        <v>627</v>
      </c>
      <c r="C108" s="77">
        <v>46175.0</v>
      </c>
      <c r="D108" s="161"/>
      <c r="E108" s="136">
        <v>26.10864</v>
      </c>
      <c r="F108" s="60">
        <v>26.36633</v>
      </c>
      <c r="G108" s="62" t="s">
        <v>644</v>
      </c>
      <c r="H108" s="63" t="s">
        <v>45</v>
      </c>
      <c r="I108" s="155">
        <v>1.0</v>
      </c>
      <c r="J108" s="85">
        <v>3.0</v>
      </c>
      <c r="K108" s="80" t="s">
        <v>46</v>
      </c>
      <c r="L108" s="66" t="s">
        <v>645</v>
      </c>
      <c r="M108" s="156">
        <v>12.0</v>
      </c>
      <c r="N108" s="150">
        <v>0.343</v>
      </c>
      <c r="O108" s="87">
        <v>2.9314</v>
      </c>
      <c r="P108" s="151" t="s">
        <v>162</v>
      </c>
      <c r="Q108" s="143" t="s">
        <v>163</v>
      </c>
      <c r="R108" s="74"/>
      <c r="S108" s="145"/>
      <c r="T108" s="146">
        <f t="shared" si="10"/>
        <v>270</v>
      </c>
      <c r="U108" s="146">
        <f t="shared" ref="U108:U114" si="12">round((O108*89)+(550*N108),-1)</f>
        <v>450</v>
      </c>
      <c r="V108" s="147" t="s">
        <v>38</v>
      </c>
      <c r="W108" s="74" t="b">
        <v>0</v>
      </c>
      <c r="X108" s="74" t="b">
        <v>0</v>
      </c>
      <c r="Y108" s="74" t="b">
        <v>0</v>
      </c>
      <c r="Z108" s="148" t="str">
        <f>IFERROR(__xludf.DUMMYFUNCTION("""COMPUTED_VALUE"""),"#REF!")</f>
        <v>#REF!</v>
      </c>
      <c r="AA108" s="148" t="str">
        <f>IFERROR(__xludf.DUMMYFUNCTION("""COMPUTED_VALUE"""),"#REF!")</f>
        <v>#REF!</v>
      </c>
      <c r="AB108" s="148" t="str">
        <f>IFERROR(__xludf.DUMMYFUNCTION("""COMPUTED_VALUE"""),"#REF!")</f>
        <v>#REF!</v>
      </c>
      <c r="AC108" s="153">
        <v>46175.0</v>
      </c>
      <c r="AD108" s="148"/>
      <c r="AE108" s="47"/>
      <c r="AF108" s="148" t="s">
        <v>646</v>
      </c>
      <c r="AG108" s="148"/>
      <c r="AH108" s="148" t="s">
        <v>644</v>
      </c>
      <c r="AI108" s="148" t="e">
        <v>#REF!</v>
      </c>
      <c r="AJ108" s="148" t="e">
        <v>#REF!</v>
      </c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</row>
    <row r="109" ht="14.25" customHeight="1">
      <c r="A109" s="152" t="s">
        <v>13</v>
      </c>
      <c r="B109" s="135" t="s">
        <v>627</v>
      </c>
      <c r="C109" s="77">
        <v>46175.0</v>
      </c>
      <c r="D109" s="161"/>
      <c r="E109" s="136">
        <v>25.10151</v>
      </c>
      <c r="F109" s="159">
        <v>25.3464</v>
      </c>
      <c r="G109" s="62" t="s">
        <v>647</v>
      </c>
      <c r="H109" s="63" t="s">
        <v>45</v>
      </c>
      <c r="I109" s="155">
        <v>1.0</v>
      </c>
      <c r="J109" s="85">
        <v>10.14</v>
      </c>
      <c r="K109" s="80" t="s">
        <v>619</v>
      </c>
      <c r="L109" s="66" t="s">
        <v>648</v>
      </c>
      <c r="M109" s="156">
        <v>51.0</v>
      </c>
      <c r="N109" s="150">
        <v>5.486</v>
      </c>
      <c r="O109" s="87">
        <v>9.0428</v>
      </c>
      <c r="P109" s="151" t="s">
        <v>162</v>
      </c>
      <c r="Q109" s="143" t="s">
        <v>163</v>
      </c>
      <c r="R109" s="74"/>
      <c r="S109" s="145"/>
      <c r="T109" s="146">
        <f t="shared" si="10"/>
        <v>2292</v>
      </c>
      <c r="U109" s="146">
        <f t="shared" si="12"/>
        <v>3820</v>
      </c>
      <c r="V109" s="147" t="s">
        <v>38</v>
      </c>
      <c r="W109" s="74" t="b">
        <v>0</v>
      </c>
      <c r="X109" s="74" t="b">
        <v>0</v>
      </c>
      <c r="Y109" s="74" t="b">
        <v>0</v>
      </c>
      <c r="Z109" s="148" t="str">
        <f>IFERROR(__xludf.DUMMYFUNCTION("""COMPUTED_VALUE"""),"#REF!")</f>
        <v>#REF!</v>
      </c>
      <c r="AA109" s="148" t="str">
        <f>IFERROR(__xludf.DUMMYFUNCTION("""COMPUTED_VALUE"""),"#REF!")</f>
        <v>#REF!</v>
      </c>
      <c r="AB109" s="148" t="str">
        <f>IFERROR(__xludf.DUMMYFUNCTION("""COMPUTED_VALUE"""),"#REF!")</f>
        <v>#REF!</v>
      </c>
      <c r="AC109" s="153">
        <v>46175.0</v>
      </c>
      <c r="AD109" s="148"/>
      <c r="AE109" s="47"/>
      <c r="AF109" s="148" t="s">
        <v>649</v>
      </c>
      <c r="AG109" s="148"/>
      <c r="AH109" s="148" t="s">
        <v>647</v>
      </c>
      <c r="AI109" s="148" t="e">
        <v>#REF!</v>
      </c>
      <c r="AJ109" s="148" t="e">
        <v>#REF!</v>
      </c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</row>
    <row r="110" ht="14.25" customHeight="1">
      <c r="A110" s="152" t="s">
        <v>13</v>
      </c>
      <c r="B110" s="135" t="s">
        <v>627</v>
      </c>
      <c r="C110" s="77">
        <v>46175.0</v>
      </c>
      <c r="D110" s="161"/>
      <c r="E110" s="136">
        <v>25.10045</v>
      </c>
      <c r="F110" s="60">
        <v>25.34321</v>
      </c>
      <c r="G110" s="62" t="s">
        <v>650</v>
      </c>
      <c r="H110" s="63" t="s">
        <v>34</v>
      </c>
      <c r="I110" s="155">
        <v>1.0</v>
      </c>
      <c r="J110" s="85">
        <v>19.25</v>
      </c>
      <c r="K110" s="80" t="s">
        <v>77</v>
      </c>
      <c r="L110" s="66" t="s">
        <v>651</v>
      </c>
      <c r="M110" s="156"/>
      <c r="N110" s="150"/>
      <c r="O110" s="87">
        <v>19.25</v>
      </c>
      <c r="P110" s="151" t="s">
        <v>162</v>
      </c>
      <c r="Q110" s="143" t="s">
        <v>163</v>
      </c>
      <c r="R110" s="74"/>
      <c r="S110" s="145"/>
      <c r="T110" s="146">
        <f t="shared" si="10"/>
        <v>1026</v>
      </c>
      <c r="U110" s="146">
        <f t="shared" si="12"/>
        <v>1710</v>
      </c>
      <c r="V110" s="147" t="s">
        <v>38</v>
      </c>
      <c r="W110" s="74" t="b">
        <v>0</v>
      </c>
      <c r="X110" s="74" t="b">
        <v>0</v>
      </c>
      <c r="Y110" s="74" t="b">
        <v>0</v>
      </c>
      <c r="Z110" s="148" t="str">
        <f>IFERROR(__xludf.DUMMYFUNCTION("""COMPUTED_VALUE"""),"#REF!")</f>
        <v>#REF!</v>
      </c>
      <c r="AA110" s="148" t="str">
        <f>IFERROR(__xludf.DUMMYFUNCTION("""COMPUTED_VALUE"""),"#REF!")</f>
        <v>#REF!</v>
      </c>
      <c r="AB110" s="148" t="str">
        <f>IFERROR(__xludf.DUMMYFUNCTION("""COMPUTED_VALUE"""),"#REF!")</f>
        <v>#REF!</v>
      </c>
      <c r="AC110" s="153">
        <v>46175.0</v>
      </c>
      <c r="AD110" s="148"/>
      <c r="AE110" s="47"/>
      <c r="AF110" s="148" t="s">
        <v>652</v>
      </c>
      <c r="AG110" s="148"/>
      <c r="AH110" s="148" t="s">
        <v>650</v>
      </c>
      <c r="AI110" s="148" t="e">
        <v>#REF!</v>
      </c>
      <c r="AJ110" s="148" t="e">
        <v>#REF!</v>
      </c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</row>
    <row r="111" ht="14.25" customHeight="1">
      <c r="A111" s="152" t="s">
        <v>13</v>
      </c>
      <c r="B111" s="135" t="s">
        <v>627</v>
      </c>
      <c r="C111" s="77">
        <v>46175.0</v>
      </c>
      <c r="D111" s="161"/>
      <c r="E111" s="136">
        <v>25.9956</v>
      </c>
      <c r="F111" s="60">
        <v>25.3403</v>
      </c>
      <c r="G111" s="62" t="s">
        <v>653</v>
      </c>
      <c r="H111" s="63" t="s">
        <v>45</v>
      </c>
      <c r="I111" s="155">
        <v>1.0</v>
      </c>
      <c r="J111" s="85">
        <v>6.82</v>
      </c>
      <c r="K111" s="80" t="s">
        <v>269</v>
      </c>
      <c r="L111" s="66" t="s">
        <v>654</v>
      </c>
      <c r="M111" s="156"/>
      <c r="N111" s="150"/>
      <c r="O111" s="87">
        <v>6.82</v>
      </c>
      <c r="P111" s="151" t="s">
        <v>162</v>
      </c>
      <c r="Q111" s="143" t="s">
        <v>163</v>
      </c>
      <c r="R111" s="74"/>
      <c r="S111" s="145"/>
      <c r="T111" s="146">
        <f t="shared" si="10"/>
        <v>366</v>
      </c>
      <c r="U111" s="146">
        <f t="shared" si="12"/>
        <v>610</v>
      </c>
      <c r="V111" s="147" t="s">
        <v>38</v>
      </c>
      <c r="W111" s="74" t="b">
        <v>0</v>
      </c>
      <c r="X111" s="74" t="b">
        <v>0</v>
      </c>
      <c r="Y111" s="74" t="b">
        <v>0</v>
      </c>
      <c r="Z111" s="148" t="str">
        <f>IFERROR(__xludf.DUMMYFUNCTION("""COMPUTED_VALUE"""),"#REF!")</f>
        <v>#REF!</v>
      </c>
      <c r="AA111" s="148" t="str">
        <f>IFERROR(__xludf.DUMMYFUNCTION("""COMPUTED_VALUE"""),"#REF!")</f>
        <v>#REF!</v>
      </c>
      <c r="AB111" s="148" t="str">
        <f>IFERROR(__xludf.DUMMYFUNCTION("""COMPUTED_VALUE"""),"#REF!")</f>
        <v>#REF!</v>
      </c>
      <c r="AC111" s="153">
        <v>46175.0</v>
      </c>
      <c r="AD111" s="148"/>
      <c r="AE111" s="47"/>
      <c r="AF111" s="148" t="s">
        <v>655</v>
      </c>
      <c r="AG111" s="148"/>
      <c r="AH111" s="148" t="s">
        <v>653</v>
      </c>
      <c r="AI111" s="148" t="e">
        <v>#REF!</v>
      </c>
      <c r="AJ111" s="148" t="e">
        <v>#REF!</v>
      </c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</row>
    <row r="112" ht="14.25" customHeight="1">
      <c r="A112" s="152" t="s">
        <v>13</v>
      </c>
      <c r="B112" s="135" t="s">
        <v>627</v>
      </c>
      <c r="C112" s="77">
        <v>46175.0</v>
      </c>
      <c r="D112" s="161"/>
      <c r="E112" s="136">
        <v>25.9956</v>
      </c>
      <c r="F112" s="60">
        <v>25.34031</v>
      </c>
      <c r="G112" s="62" t="s">
        <v>656</v>
      </c>
      <c r="H112" s="63" t="s">
        <v>45</v>
      </c>
      <c r="I112" s="155">
        <v>1.0</v>
      </c>
      <c r="J112" s="85">
        <v>6.78</v>
      </c>
      <c r="K112" s="80" t="s">
        <v>269</v>
      </c>
      <c r="L112" s="66" t="s">
        <v>657</v>
      </c>
      <c r="M112" s="156"/>
      <c r="N112" s="150"/>
      <c r="O112" s="87">
        <v>6.78</v>
      </c>
      <c r="P112" s="151" t="s">
        <v>162</v>
      </c>
      <c r="Q112" s="143" t="s">
        <v>163</v>
      </c>
      <c r="R112" s="74"/>
      <c r="S112" s="145"/>
      <c r="T112" s="146">
        <f t="shared" si="10"/>
        <v>360</v>
      </c>
      <c r="U112" s="146">
        <f t="shared" si="12"/>
        <v>600</v>
      </c>
      <c r="V112" s="147" t="s">
        <v>38</v>
      </c>
      <c r="W112" s="74" t="b">
        <v>0</v>
      </c>
      <c r="X112" s="74" t="b">
        <v>0</v>
      </c>
      <c r="Y112" s="74" t="b">
        <v>0</v>
      </c>
      <c r="Z112" s="148" t="str">
        <f>IFERROR(__xludf.DUMMYFUNCTION("""COMPUTED_VALUE"""),"#REF!")</f>
        <v>#REF!</v>
      </c>
      <c r="AA112" s="148" t="str">
        <f>IFERROR(__xludf.DUMMYFUNCTION("""COMPUTED_VALUE"""),"#REF!")</f>
        <v>#REF!</v>
      </c>
      <c r="AB112" s="148" t="str">
        <f>IFERROR(__xludf.DUMMYFUNCTION("""COMPUTED_VALUE"""),"#REF!")</f>
        <v>#REF!</v>
      </c>
      <c r="AC112" s="153">
        <v>46175.0</v>
      </c>
      <c r="AD112" s="148"/>
      <c r="AE112" s="47"/>
      <c r="AF112" s="148" t="s">
        <v>658</v>
      </c>
      <c r="AG112" s="148"/>
      <c r="AH112" s="148" t="s">
        <v>656</v>
      </c>
      <c r="AI112" s="148" t="e">
        <v>#REF!</v>
      </c>
      <c r="AJ112" s="148" t="e">
        <v>#REF!</v>
      </c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</row>
    <row r="113" ht="14.25" customHeight="1">
      <c r="A113" s="152" t="s">
        <v>13</v>
      </c>
      <c r="B113" s="135" t="s">
        <v>627</v>
      </c>
      <c r="C113" s="77">
        <v>46175.0</v>
      </c>
      <c r="D113" s="161"/>
      <c r="E113" s="136">
        <v>25.9882</v>
      </c>
      <c r="F113" s="60">
        <v>25.33783</v>
      </c>
      <c r="G113" s="62" t="s">
        <v>659</v>
      </c>
      <c r="H113" s="63" t="s">
        <v>34</v>
      </c>
      <c r="I113" s="155">
        <v>1.0</v>
      </c>
      <c r="J113" s="85">
        <v>5.05</v>
      </c>
      <c r="K113" s="80" t="s">
        <v>68</v>
      </c>
      <c r="L113" s="66" t="s">
        <v>660</v>
      </c>
      <c r="M113" s="156"/>
      <c r="N113" s="150"/>
      <c r="O113" s="87">
        <v>5.05</v>
      </c>
      <c r="P113" s="151" t="s">
        <v>162</v>
      </c>
      <c r="Q113" s="143" t="s">
        <v>163</v>
      </c>
      <c r="R113" s="74"/>
      <c r="S113" s="145"/>
      <c r="T113" s="146">
        <f t="shared" si="10"/>
        <v>270</v>
      </c>
      <c r="U113" s="146">
        <f t="shared" si="12"/>
        <v>450</v>
      </c>
      <c r="V113" s="147" t="s">
        <v>38</v>
      </c>
      <c r="W113" s="74" t="b">
        <v>0</v>
      </c>
      <c r="X113" s="74" t="b">
        <v>0</v>
      </c>
      <c r="Y113" s="74" t="b">
        <v>0</v>
      </c>
      <c r="Z113" s="148" t="str">
        <f>IFERROR(__xludf.DUMMYFUNCTION("""COMPUTED_VALUE"""),"#REF!")</f>
        <v>#REF!</v>
      </c>
      <c r="AA113" s="148" t="str">
        <f>IFERROR(__xludf.DUMMYFUNCTION("""COMPUTED_VALUE"""),"#REF!")</f>
        <v>#REF!</v>
      </c>
      <c r="AB113" s="148" t="str">
        <f>IFERROR(__xludf.DUMMYFUNCTION("""COMPUTED_VALUE"""),"#REF!")</f>
        <v>#REF!</v>
      </c>
      <c r="AC113" s="153">
        <v>46175.0</v>
      </c>
      <c r="AD113" s="148"/>
      <c r="AE113" s="47"/>
      <c r="AF113" s="148" t="s">
        <v>661</v>
      </c>
      <c r="AG113" s="148"/>
      <c r="AH113" s="148" t="s">
        <v>659</v>
      </c>
      <c r="AI113" s="148" t="e">
        <v>#REF!</v>
      </c>
      <c r="AJ113" s="148" t="e">
        <v>#REF!</v>
      </c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</row>
    <row r="114" ht="14.25" customHeight="1">
      <c r="A114" s="152" t="s">
        <v>13</v>
      </c>
      <c r="B114" s="135" t="s">
        <v>627</v>
      </c>
      <c r="C114" s="77">
        <v>46175.0</v>
      </c>
      <c r="D114" s="161"/>
      <c r="E114" s="136">
        <v>25.9882</v>
      </c>
      <c r="F114" s="60">
        <v>25.33784</v>
      </c>
      <c r="G114" s="62" t="s">
        <v>662</v>
      </c>
      <c r="H114" s="63" t="s">
        <v>34</v>
      </c>
      <c r="I114" s="155">
        <v>1.0</v>
      </c>
      <c r="J114" s="85">
        <v>5.03</v>
      </c>
      <c r="K114" s="80" t="s">
        <v>68</v>
      </c>
      <c r="L114" s="66" t="s">
        <v>663</v>
      </c>
      <c r="M114" s="156"/>
      <c r="N114" s="150"/>
      <c r="O114" s="87">
        <v>5.03</v>
      </c>
      <c r="P114" s="151" t="s">
        <v>162</v>
      </c>
      <c r="Q114" s="143" t="s">
        <v>163</v>
      </c>
      <c r="R114" s="74"/>
      <c r="S114" s="145"/>
      <c r="T114" s="146">
        <f t="shared" si="10"/>
        <v>270</v>
      </c>
      <c r="U114" s="146">
        <f t="shared" si="12"/>
        <v>450</v>
      </c>
      <c r="V114" s="147" t="s">
        <v>38</v>
      </c>
      <c r="W114" s="74" t="b">
        <v>0</v>
      </c>
      <c r="X114" s="74" t="b">
        <v>0</v>
      </c>
      <c r="Y114" s="74" t="b">
        <v>0</v>
      </c>
      <c r="Z114" s="148" t="str">
        <f>IFERROR(__xludf.DUMMYFUNCTION("""COMPUTED_VALUE"""),"#REF!")</f>
        <v>#REF!</v>
      </c>
      <c r="AA114" s="148" t="str">
        <f>IFERROR(__xludf.DUMMYFUNCTION("""COMPUTED_VALUE"""),"#REF!")</f>
        <v>#REF!</v>
      </c>
      <c r="AB114" s="148" t="str">
        <f>IFERROR(__xludf.DUMMYFUNCTION("""COMPUTED_VALUE"""),"#REF!")</f>
        <v>#REF!</v>
      </c>
      <c r="AC114" s="153">
        <v>46175.0</v>
      </c>
      <c r="AD114" s="148"/>
      <c r="AE114" s="47"/>
      <c r="AF114" s="148" t="s">
        <v>664</v>
      </c>
      <c r="AG114" s="148"/>
      <c r="AH114" s="148" t="s">
        <v>662</v>
      </c>
      <c r="AI114" s="148" t="e">
        <v>#REF!</v>
      </c>
      <c r="AJ114" s="148" t="e">
        <v>#REF!</v>
      </c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</row>
    <row r="115" ht="14.25" customHeight="1">
      <c r="A115" s="152" t="s">
        <v>13</v>
      </c>
      <c r="B115" s="135" t="s">
        <v>665</v>
      </c>
      <c r="C115" s="77">
        <v>46176.0</v>
      </c>
      <c r="D115" s="161"/>
      <c r="E115" s="136">
        <v>26.10794</v>
      </c>
      <c r="F115" s="60">
        <v>26.36559</v>
      </c>
      <c r="G115" s="62" t="s">
        <v>666</v>
      </c>
      <c r="H115" s="63" t="s">
        <v>106</v>
      </c>
      <c r="I115" s="155">
        <v>1.0</v>
      </c>
      <c r="J115" s="85">
        <v>3.48</v>
      </c>
      <c r="K115" s="80" t="s">
        <v>188</v>
      </c>
      <c r="L115" s="66" t="s">
        <v>667</v>
      </c>
      <c r="M115" s="156">
        <v>20.0</v>
      </c>
      <c r="N115" s="150">
        <v>0.075</v>
      </c>
      <c r="O115" s="87">
        <v>3.465</v>
      </c>
      <c r="P115" s="151" t="s">
        <v>153</v>
      </c>
      <c r="Q115" s="143" t="s">
        <v>154</v>
      </c>
      <c r="R115" s="74" t="s">
        <v>495</v>
      </c>
      <c r="S115" s="145"/>
      <c r="T115" s="146">
        <f t="shared" si="10"/>
        <v>144</v>
      </c>
      <c r="U115" s="146">
        <f>round((O115*69)+(10*N115),-1)</f>
        <v>240</v>
      </c>
      <c r="V115" s="147" t="s">
        <v>38</v>
      </c>
      <c r="W115" s="74" t="b">
        <v>0</v>
      </c>
      <c r="X115" s="74" t="b">
        <v>0</v>
      </c>
      <c r="Y115" s="74" t="b">
        <v>0</v>
      </c>
      <c r="Z115" s="148" t="str">
        <f>IFERROR(__xludf.DUMMYFUNCTION("""COMPUTED_VALUE"""),"#REF!")</f>
        <v>#REF!</v>
      </c>
      <c r="AA115" s="148" t="str">
        <f>IFERROR(__xludf.DUMMYFUNCTION("""COMPUTED_VALUE"""),"#REF!")</f>
        <v>#REF!</v>
      </c>
      <c r="AB115" s="148" t="str">
        <f>IFERROR(__xludf.DUMMYFUNCTION("""COMPUTED_VALUE"""),"#REF!")</f>
        <v>#REF!</v>
      </c>
      <c r="AC115" s="153">
        <v>46176.0</v>
      </c>
      <c r="AD115" s="148"/>
      <c r="AE115" s="47"/>
      <c r="AF115" s="148" t="s">
        <v>668</v>
      </c>
      <c r="AG115" s="148"/>
      <c r="AH115" s="148" t="s">
        <v>666</v>
      </c>
      <c r="AI115" s="148" t="e">
        <v>#REF!</v>
      </c>
      <c r="AJ115" s="148" t="e">
        <v>#REF!</v>
      </c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</row>
    <row r="116" ht="14.25" customHeight="1">
      <c r="A116" s="152" t="s">
        <v>13</v>
      </c>
      <c r="B116" s="135" t="s">
        <v>665</v>
      </c>
      <c r="C116" s="77">
        <v>46176.0</v>
      </c>
      <c r="D116" s="161"/>
      <c r="E116" s="136">
        <v>26.10864</v>
      </c>
      <c r="F116" s="60">
        <v>26.36634</v>
      </c>
      <c r="G116" s="62" t="s">
        <v>669</v>
      </c>
      <c r="H116" s="63" t="s">
        <v>45</v>
      </c>
      <c r="I116" s="155">
        <v>1.0</v>
      </c>
      <c r="J116" s="85">
        <v>3.02</v>
      </c>
      <c r="K116" s="80" t="s">
        <v>46</v>
      </c>
      <c r="L116" s="66" t="s">
        <v>670</v>
      </c>
      <c r="M116" s="156">
        <v>12.0</v>
      </c>
      <c r="N116" s="150">
        <v>0.344</v>
      </c>
      <c r="O116" s="87">
        <v>2.9512</v>
      </c>
      <c r="P116" s="151" t="s">
        <v>162</v>
      </c>
      <c r="Q116" s="143" t="s">
        <v>163</v>
      </c>
      <c r="R116" s="74"/>
      <c r="S116" s="145"/>
      <c r="T116" s="146">
        <f t="shared" si="10"/>
        <v>270</v>
      </c>
      <c r="U116" s="146">
        <f t="shared" ref="U116:U119" si="13">round((O116*89)+(550*N116),-1)</f>
        <v>450</v>
      </c>
      <c r="V116" s="147" t="s">
        <v>38</v>
      </c>
      <c r="W116" s="74" t="b">
        <v>0</v>
      </c>
      <c r="X116" s="74" t="b">
        <v>0</v>
      </c>
      <c r="Y116" s="74" t="b">
        <v>0</v>
      </c>
      <c r="Z116" s="148" t="str">
        <f>IFERROR(__xludf.DUMMYFUNCTION("""COMPUTED_VALUE"""),"#REF!")</f>
        <v>#REF!</v>
      </c>
      <c r="AA116" s="148" t="str">
        <f>IFERROR(__xludf.DUMMYFUNCTION("""COMPUTED_VALUE"""),"#REF!")</f>
        <v>#REF!</v>
      </c>
      <c r="AB116" s="148" t="str">
        <f>IFERROR(__xludf.DUMMYFUNCTION("""COMPUTED_VALUE"""),"#REF!")</f>
        <v>#REF!</v>
      </c>
      <c r="AC116" s="153">
        <v>46176.0</v>
      </c>
      <c r="AD116" s="148"/>
      <c r="AE116" s="47"/>
      <c r="AF116" s="148" t="s">
        <v>671</v>
      </c>
      <c r="AG116" s="148"/>
      <c r="AH116" s="148" t="s">
        <v>669</v>
      </c>
      <c r="AI116" s="148" t="e">
        <v>#REF!</v>
      </c>
      <c r="AJ116" s="148" t="e">
        <v>#REF!</v>
      </c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</row>
    <row r="117" ht="14.25" customHeight="1">
      <c r="A117" s="152" t="s">
        <v>13</v>
      </c>
      <c r="B117" s="135" t="s">
        <v>665</v>
      </c>
      <c r="C117" s="77">
        <v>46176.0</v>
      </c>
      <c r="D117" s="161"/>
      <c r="E117" s="136">
        <v>25.9708</v>
      </c>
      <c r="F117" s="60">
        <v>25.33509</v>
      </c>
      <c r="G117" s="62" t="s">
        <v>672</v>
      </c>
      <c r="H117" s="63" t="s">
        <v>45</v>
      </c>
      <c r="I117" s="155">
        <v>1.0</v>
      </c>
      <c r="J117" s="85">
        <v>2.21</v>
      </c>
      <c r="K117" s="80" t="s">
        <v>269</v>
      </c>
      <c r="L117" s="66" t="s">
        <v>673</v>
      </c>
      <c r="M117" s="156"/>
      <c r="N117" s="150"/>
      <c r="O117" s="87">
        <v>2.21</v>
      </c>
      <c r="P117" s="151" t="s">
        <v>162</v>
      </c>
      <c r="Q117" s="143" t="s">
        <v>163</v>
      </c>
      <c r="R117" s="74"/>
      <c r="S117" s="145"/>
      <c r="T117" s="146">
        <f t="shared" si="10"/>
        <v>120</v>
      </c>
      <c r="U117" s="146">
        <f t="shared" si="13"/>
        <v>200</v>
      </c>
      <c r="V117" s="147" t="s">
        <v>38</v>
      </c>
      <c r="W117" s="74" t="b">
        <v>0</v>
      </c>
      <c r="X117" s="74" t="b">
        <v>0</v>
      </c>
      <c r="Y117" s="74" t="b">
        <v>0</v>
      </c>
      <c r="Z117" s="148" t="str">
        <f>IFERROR(__xludf.DUMMYFUNCTION("""COMPUTED_VALUE"""),"#REF!")</f>
        <v>#REF!</v>
      </c>
      <c r="AA117" s="148" t="str">
        <f>IFERROR(__xludf.DUMMYFUNCTION("""COMPUTED_VALUE"""),"#REF!")</f>
        <v>#REF!</v>
      </c>
      <c r="AB117" s="148" t="str">
        <f>IFERROR(__xludf.DUMMYFUNCTION("""COMPUTED_VALUE"""),"#REF!")</f>
        <v>#REF!</v>
      </c>
      <c r="AC117" s="153">
        <v>46176.0</v>
      </c>
      <c r="AD117" s="148"/>
      <c r="AE117" s="47"/>
      <c r="AF117" s="148" t="s">
        <v>674</v>
      </c>
      <c r="AG117" s="148"/>
      <c r="AH117" s="148" t="s">
        <v>672</v>
      </c>
      <c r="AI117" s="148" t="e">
        <v>#REF!</v>
      </c>
      <c r="AJ117" s="148" t="e">
        <v>#REF!</v>
      </c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</row>
    <row r="118" ht="14.25" customHeight="1">
      <c r="A118" s="152" t="s">
        <v>13</v>
      </c>
      <c r="B118" s="135" t="s">
        <v>665</v>
      </c>
      <c r="C118" s="77">
        <v>46176.0</v>
      </c>
      <c r="D118" s="161"/>
      <c r="E118" s="136">
        <v>25.9708</v>
      </c>
      <c r="F118" s="60">
        <v>25.33616</v>
      </c>
      <c r="G118" s="62" t="s">
        <v>675</v>
      </c>
      <c r="H118" s="63" t="s">
        <v>34</v>
      </c>
      <c r="I118" s="155">
        <v>1.0</v>
      </c>
      <c r="J118" s="85">
        <v>2.26</v>
      </c>
      <c r="K118" s="80" t="s">
        <v>269</v>
      </c>
      <c r="L118" s="66" t="s">
        <v>676</v>
      </c>
      <c r="M118" s="156"/>
      <c r="N118" s="150"/>
      <c r="O118" s="87">
        <v>2.26</v>
      </c>
      <c r="P118" s="151" t="s">
        <v>162</v>
      </c>
      <c r="Q118" s="143" t="s">
        <v>163</v>
      </c>
      <c r="R118" s="74"/>
      <c r="S118" s="145"/>
      <c r="T118" s="146">
        <f t="shared" si="10"/>
        <v>120</v>
      </c>
      <c r="U118" s="146">
        <f t="shared" si="13"/>
        <v>200</v>
      </c>
      <c r="V118" s="147" t="s">
        <v>38</v>
      </c>
      <c r="W118" s="74" t="b">
        <v>0</v>
      </c>
      <c r="X118" s="74" t="b">
        <v>0</v>
      </c>
      <c r="Y118" s="74" t="b">
        <v>0</v>
      </c>
      <c r="Z118" s="148" t="str">
        <f>IFERROR(__xludf.DUMMYFUNCTION("""COMPUTED_VALUE"""),"#REF!")</f>
        <v>#REF!</v>
      </c>
      <c r="AA118" s="148" t="str">
        <f>IFERROR(__xludf.DUMMYFUNCTION("""COMPUTED_VALUE"""),"#REF!")</f>
        <v>#REF!</v>
      </c>
      <c r="AB118" s="148" t="str">
        <f>IFERROR(__xludf.DUMMYFUNCTION("""COMPUTED_VALUE"""),"#REF!")</f>
        <v>#REF!</v>
      </c>
      <c r="AC118" s="153">
        <v>46176.0</v>
      </c>
      <c r="AD118" s="148"/>
      <c r="AE118" s="47"/>
      <c r="AF118" s="148" t="s">
        <v>677</v>
      </c>
      <c r="AG118" s="148"/>
      <c r="AH118" s="148" t="s">
        <v>675</v>
      </c>
      <c r="AI118" s="148" t="e">
        <v>#REF!</v>
      </c>
      <c r="AJ118" s="148" t="e">
        <v>#REF!</v>
      </c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</row>
    <row r="119" ht="14.25" customHeight="1">
      <c r="A119" s="152" t="s">
        <v>13</v>
      </c>
      <c r="B119" s="135" t="s">
        <v>665</v>
      </c>
      <c r="C119" s="77">
        <v>46176.0</v>
      </c>
      <c r="D119" s="161"/>
      <c r="E119" s="136">
        <v>25.9671</v>
      </c>
      <c r="F119" s="60">
        <v>25.33619</v>
      </c>
      <c r="G119" s="62" t="s">
        <v>678</v>
      </c>
      <c r="H119" s="63" t="s">
        <v>45</v>
      </c>
      <c r="I119" s="155">
        <v>1.0</v>
      </c>
      <c r="J119" s="85">
        <v>1.44</v>
      </c>
      <c r="K119" s="80" t="s">
        <v>68</v>
      </c>
      <c r="L119" s="66" t="s">
        <v>679</v>
      </c>
      <c r="M119" s="156"/>
      <c r="N119" s="150"/>
      <c r="O119" s="87">
        <v>1.44</v>
      </c>
      <c r="P119" s="151" t="s">
        <v>162</v>
      </c>
      <c r="Q119" s="143" t="s">
        <v>163</v>
      </c>
      <c r="R119" s="74"/>
      <c r="S119" s="145"/>
      <c r="T119" s="146">
        <f t="shared" si="10"/>
        <v>78</v>
      </c>
      <c r="U119" s="146">
        <f t="shared" si="13"/>
        <v>130</v>
      </c>
      <c r="V119" s="147" t="s">
        <v>38</v>
      </c>
      <c r="W119" s="74" t="b">
        <v>0</v>
      </c>
      <c r="X119" s="74" t="b">
        <v>0</v>
      </c>
      <c r="Y119" s="74" t="b">
        <v>0</v>
      </c>
      <c r="Z119" s="148" t="str">
        <f>IFERROR(__xludf.DUMMYFUNCTION("""COMPUTED_VALUE"""),"#REF!")</f>
        <v>#REF!</v>
      </c>
      <c r="AA119" s="148" t="str">
        <f>IFERROR(__xludf.DUMMYFUNCTION("""COMPUTED_VALUE"""),"#REF!")</f>
        <v>#REF!</v>
      </c>
      <c r="AB119" s="148" t="str">
        <f>IFERROR(__xludf.DUMMYFUNCTION("""COMPUTED_VALUE"""),"#REF!")</f>
        <v>#REF!</v>
      </c>
      <c r="AC119" s="153">
        <v>46176.0</v>
      </c>
      <c r="AD119" s="148"/>
      <c r="AE119" s="47"/>
      <c r="AF119" s="148" t="s">
        <v>680</v>
      </c>
      <c r="AG119" s="148"/>
      <c r="AH119" s="148" t="s">
        <v>678</v>
      </c>
      <c r="AI119" s="148" t="e">
        <v>#REF!</v>
      </c>
      <c r="AJ119" s="148" t="e">
        <v>#REF!</v>
      </c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</row>
    <row r="120" ht="14.25" customHeight="1">
      <c r="A120" s="152" t="s">
        <v>13</v>
      </c>
      <c r="B120" s="135" t="s">
        <v>681</v>
      </c>
      <c r="C120" s="77">
        <v>46177.0</v>
      </c>
      <c r="D120" s="161"/>
      <c r="E120" s="136">
        <v>26.10708</v>
      </c>
      <c r="F120" s="60">
        <v>26.36416</v>
      </c>
      <c r="G120" s="62" t="s">
        <v>682</v>
      </c>
      <c r="H120" s="160" t="s">
        <v>208</v>
      </c>
      <c r="I120" s="155">
        <v>1.0</v>
      </c>
      <c r="J120" s="85">
        <v>4.22</v>
      </c>
      <c r="K120" s="80" t="s">
        <v>46</v>
      </c>
      <c r="L120" s="66" t="s">
        <v>683</v>
      </c>
      <c r="M120" s="156">
        <v>14.0</v>
      </c>
      <c r="N120" s="150">
        <v>0.362</v>
      </c>
      <c r="O120" s="87">
        <v>4.1476</v>
      </c>
      <c r="P120" s="151" t="s">
        <v>153</v>
      </c>
      <c r="Q120" s="143" t="s">
        <v>154</v>
      </c>
      <c r="R120" s="74" t="s">
        <v>495</v>
      </c>
      <c r="S120" s="145"/>
      <c r="T120" s="146">
        <f t="shared" si="10"/>
        <v>240</v>
      </c>
      <c r="U120" s="146">
        <f>round((O120*48)+(550*N120),-1)</f>
        <v>400</v>
      </c>
      <c r="V120" s="147" t="s">
        <v>38</v>
      </c>
      <c r="W120" s="74" t="b">
        <v>0</v>
      </c>
      <c r="X120" s="74" t="b">
        <v>0</v>
      </c>
      <c r="Y120" s="74" t="b">
        <v>0</v>
      </c>
      <c r="Z120" s="148" t="str">
        <f>IFERROR(__xludf.DUMMYFUNCTION("""COMPUTED_VALUE"""),"#REF!")</f>
        <v>#REF!</v>
      </c>
      <c r="AA120" s="148" t="str">
        <f>IFERROR(__xludf.DUMMYFUNCTION("""COMPUTED_VALUE"""),"#REF!")</f>
        <v>#REF!</v>
      </c>
      <c r="AB120" s="148" t="str">
        <f>IFERROR(__xludf.DUMMYFUNCTION("""COMPUTED_VALUE"""),"#REF!")</f>
        <v>#REF!</v>
      </c>
      <c r="AC120" s="153">
        <v>46177.0</v>
      </c>
      <c r="AD120" s="148"/>
      <c r="AE120" s="47"/>
      <c r="AF120" s="148" t="s">
        <v>684</v>
      </c>
      <c r="AG120" s="148"/>
      <c r="AH120" s="148" t="s">
        <v>682</v>
      </c>
      <c r="AI120" s="148" t="e">
        <v>#REF!</v>
      </c>
      <c r="AJ120" s="148" t="e">
        <v>#REF!</v>
      </c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</row>
    <row r="121" ht="14.25" customHeight="1">
      <c r="A121" s="152" t="s">
        <v>13</v>
      </c>
      <c r="B121" s="135" t="s">
        <v>681</v>
      </c>
      <c r="C121" s="77">
        <v>46177.0</v>
      </c>
      <c r="D121" s="161"/>
      <c r="E121" s="136">
        <v>26.10716</v>
      </c>
      <c r="F121" s="60">
        <v>26.36431</v>
      </c>
      <c r="G121" s="62" t="s">
        <v>685</v>
      </c>
      <c r="H121" s="63" t="s">
        <v>45</v>
      </c>
      <c r="I121" s="155">
        <v>1.0</v>
      </c>
      <c r="J121" s="85">
        <v>6.52</v>
      </c>
      <c r="K121" s="80" t="s">
        <v>296</v>
      </c>
      <c r="L121" s="66" t="s">
        <v>686</v>
      </c>
      <c r="M121" s="156">
        <v>4.0</v>
      </c>
      <c r="N121" s="150">
        <v>0.095</v>
      </c>
      <c r="O121" s="87">
        <v>6.5009999999999994</v>
      </c>
      <c r="P121" s="151" t="s">
        <v>153</v>
      </c>
      <c r="Q121" s="143" t="s">
        <v>154</v>
      </c>
      <c r="R121" s="74" t="s">
        <v>495</v>
      </c>
      <c r="S121" s="145"/>
      <c r="T121" s="146">
        <f t="shared" si="10"/>
        <v>348</v>
      </c>
      <c r="U121" s="146">
        <f>round((O121*89)+(10*N121),-1)</f>
        <v>580</v>
      </c>
      <c r="V121" s="147" t="s">
        <v>38</v>
      </c>
      <c r="W121" s="74" t="b">
        <v>0</v>
      </c>
      <c r="X121" s="74" t="b">
        <v>0</v>
      </c>
      <c r="Y121" s="74" t="b">
        <v>0</v>
      </c>
      <c r="Z121" s="148" t="str">
        <f>IFERROR(__xludf.DUMMYFUNCTION("""COMPUTED_VALUE"""),"#REF!")</f>
        <v>#REF!</v>
      </c>
      <c r="AA121" s="148" t="str">
        <f>IFERROR(__xludf.DUMMYFUNCTION("""COMPUTED_VALUE"""),"#REF!")</f>
        <v>#REF!</v>
      </c>
      <c r="AB121" s="148" t="str">
        <f>IFERROR(__xludf.DUMMYFUNCTION("""COMPUTED_VALUE"""),"#REF!")</f>
        <v>#REF!</v>
      </c>
      <c r="AC121" s="153">
        <v>46177.0</v>
      </c>
      <c r="AD121" s="148"/>
      <c r="AE121" s="47"/>
      <c r="AF121" s="148" t="s">
        <v>687</v>
      </c>
      <c r="AG121" s="148"/>
      <c r="AH121" s="148" t="s">
        <v>685</v>
      </c>
      <c r="AI121" s="148" t="e">
        <v>#REF!</v>
      </c>
      <c r="AJ121" s="148" t="e">
        <v>#REF!</v>
      </c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</row>
    <row r="122" ht="14.25" customHeight="1">
      <c r="A122" s="152" t="s">
        <v>13</v>
      </c>
      <c r="B122" s="135" t="s">
        <v>681</v>
      </c>
      <c r="C122" s="77">
        <v>46177.0</v>
      </c>
      <c r="D122" s="161"/>
      <c r="E122" s="136">
        <v>26.10407</v>
      </c>
      <c r="F122" s="60">
        <v>26.35492</v>
      </c>
      <c r="G122" s="62" t="s">
        <v>688</v>
      </c>
      <c r="H122" s="63" t="s">
        <v>45</v>
      </c>
      <c r="I122" s="155">
        <v>1.0</v>
      </c>
      <c r="J122" s="85">
        <v>3.01</v>
      </c>
      <c r="K122" s="80" t="s">
        <v>46</v>
      </c>
      <c r="L122" s="66" t="s">
        <v>689</v>
      </c>
      <c r="M122" s="156">
        <v>44.0</v>
      </c>
      <c r="N122" s="150">
        <v>0.42299999999999993</v>
      </c>
      <c r="O122" s="87">
        <v>2.9254</v>
      </c>
      <c r="P122" s="151" t="s">
        <v>162</v>
      </c>
      <c r="Q122" s="143" t="s">
        <v>163</v>
      </c>
      <c r="R122" s="74"/>
      <c r="S122" s="145"/>
      <c r="T122" s="146">
        <f t="shared" si="10"/>
        <v>294</v>
      </c>
      <c r="U122" s="146">
        <f t="shared" ref="U122:U123" si="14">round((O122*89)+(550*N122),-1)</f>
        <v>490</v>
      </c>
      <c r="V122" s="147" t="s">
        <v>38</v>
      </c>
      <c r="W122" s="74" t="b">
        <v>0</v>
      </c>
      <c r="X122" s="74" t="b">
        <v>0</v>
      </c>
      <c r="Y122" s="74" t="b">
        <v>0</v>
      </c>
      <c r="Z122" s="148" t="str">
        <f>IFERROR(__xludf.DUMMYFUNCTION("""COMPUTED_VALUE"""),"#REF!")</f>
        <v>#REF!</v>
      </c>
      <c r="AA122" s="148" t="str">
        <f>IFERROR(__xludf.DUMMYFUNCTION("""COMPUTED_VALUE"""),"#REF!")</f>
        <v>#REF!</v>
      </c>
      <c r="AB122" s="148" t="str">
        <f>IFERROR(__xludf.DUMMYFUNCTION("""COMPUTED_VALUE"""),"#REF!")</f>
        <v>#REF!</v>
      </c>
      <c r="AC122" s="153">
        <v>46177.0</v>
      </c>
      <c r="AD122" s="148"/>
      <c r="AE122" s="47"/>
      <c r="AF122" s="148" t="s">
        <v>690</v>
      </c>
      <c r="AG122" s="148"/>
      <c r="AH122" s="148" t="s">
        <v>688</v>
      </c>
      <c r="AI122" s="148" t="e">
        <v>#REF!</v>
      </c>
      <c r="AJ122" s="148" t="e">
        <v>#REF!</v>
      </c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</row>
    <row r="123" ht="14.25" customHeight="1">
      <c r="A123" s="152" t="s">
        <v>13</v>
      </c>
      <c r="B123" s="135" t="s">
        <v>681</v>
      </c>
      <c r="C123" s="77">
        <v>46177.0</v>
      </c>
      <c r="D123" s="161"/>
      <c r="E123" s="136">
        <v>25.9673</v>
      </c>
      <c r="F123" s="60">
        <v>25.33617</v>
      </c>
      <c r="G123" s="62" t="s">
        <v>691</v>
      </c>
      <c r="H123" s="63" t="s">
        <v>45</v>
      </c>
      <c r="I123" s="155">
        <v>1.0</v>
      </c>
      <c r="J123" s="85">
        <v>0.67</v>
      </c>
      <c r="K123" s="80" t="s">
        <v>68</v>
      </c>
      <c r="L123" s="66" t="s">
        <v>692</v>
      </c>
      <c r="M123" s="156"/>
      <c r="N123" s="150"/>
      <c r="O123" s="87">
        <v>0.67</v>
      </c>
      <c r="P123" s="151" t="s">
        <v>162</v>
      </c>
      <c r="Q123" s="143" t="s">
        <v>163</v>
      </c>
      <c r="R123" s="74"/>
      <c r="S123" s="145"/>
      <c r="T123" s="146">
        <f t="shared" si="10"/>
        <v>36</v>
      </c>
      <c r="U123" s="146">
        <f t="shared" si="14"/>
        <v>60</v>
      </c>
      <c r="V123" s="147" t="s">
        <v>38</v>
      </c>
      <c r="W123" s="74" t="b">
        <v>0</v>
      </c>
      <c r="X123" s="74" t="b">
        <v>0</v>
      </c>
      <c r="Y123" s="74" t="b">
        <v>0</v>
      </c>
      <c r="Z123" s="148" t="str">
        <f>IFERROR(__xludf.DUMMYFUNCTION("""COMPUTED_VALUE"""),"#REF!")</f>
        <v>#REF!</v>
      </c>
      <c r="AA123" s="148" t="str">
        <f>IFERROR(__xludf.DUMMYFUNCTION("""COMPUTED_VALUE"""),"#REF!")</f>
        <v>#REF!</v>
      </c>
      <c r="AB123" s="148" t="str">
        <f>IFERROR(__xludf.DUMMYFUNCTION("""COMPUTED_VALUE"""),"#REF!")</f>
        <v>#REF!</v>
      </c>
      <c r="AC123" s="153">
        <v>46177.0</v>
      </c>
      <c r="AD123" s="148"/>
      <c r="AE123" s="47"/>
      <c r="AF123" s="148" t="s">
        <v>693</v>
      </c>
      <c r="AG123" s="148"/>
      <c r="AH123" s="148" t="s">
        <v>691</v>
      </c>
      <c r="AI123" s="148" t="e">
        <v>#REF!</v>
      </c>
      <c r="AJ123" s="148" t="e">
        <v>#REF!</v>
      </c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</row>
    <row r="124" ht="14.25" customHeight="1">
      <c r="A124" s="152" t="s">
        <v>13</v>
      </c>
      <c r="B124" s="135" t="s">
        <v>694</v>
      </c>
      <c r="C124" s="77">
        <v>46178.0</v>
      </c>
      <c r="D124" s="161"/>
      <c r="E124" s="136">
        <v>26.10663</v>
      </c>
      <c r="F124" s="60">
        <v>26.36344</v>
      </c>
      <c r="G124" s="62" t="s">
        <v>695</v>
      </c>
      <c r="H124" s="63" t="s">
        <v>34</v>
      </c>
      <c r="I124" s="155">
        <v>1.0</v>
      </c>
      <c r="J124" s="85">
        <v>3.07</v>
      </c>
      <c r="K124" s="80" t="s">
        <v>188</v>
      </c>
      <c r="L124" s="66" t="s">
        <v>696</v>
      </c>
      <c r="M124" s="156">
        <v>30.0</v>
      </c>
      <c r="N124" s="150">
        <v>0.368</v>
      </c>
      <c r="O124" s="87">
        <v>2.9964</v>
      </c>
      <c r="P124" s="151" t="s">
        <v>153</v>
      </c>
      <c r="Q124" s="143" t="s">
        <v>154</v>
      </c>
      <c r="R124" s="74" t="s">
        <v>495</v>
      </c>
      <c r="S124" s="145"/>
      <c r="T124" s="146">
        <f t="shared" si="10"/>
        <v>162</v>
      </c>
      <c r="U124" s="146">
        <f>round((O124*89)+(10*N124),-1)</f>
        <v>270</v>
      </c>
      <c r="V124" s="147" t="s">
        <v>38</v>
      </c>
      <c r="W124" s="74" t="b">
        <v>0</v>
      </c>
      <c r="X124" s="74" t="b">
        <v>0</v>
      </c>
      <c r="Y124" s="74" t="b">
        <v>0</v>
      </c>
      <c r="Z124" s="148" t="str">
        <f>IFERROR(__xludf.DUMMYFUNCTION("""COMPUTED_VALUE"""),"#REF!")</f>
        <v>#REF!</v>
      </c>
      <c r="AA124" s="148" t="str">
        <f>IFERROR(__xludf.DUMMYFUNCTION("""COMPUTED_VALUE"""),"#REF!")</f>
        <v>#REF!</v>
      </c>
      <c r="AB124" s="148" t="str">
        <f>IFERROR(__xludf.DUMMYFUNCTION("""COMPUTED_VALUE"""),"#REF!")</f>
        <v>#REF!</v>
      </c>
      <c r="AC124" s="153">
        <v>46178.0</v>
      </c>
      <c r="AD124" s="148"/>
      <c r="AE124" s="47"/>
      <c r="AF124" s="148" t="s">
        <v>697</v>
      </c>
      <c r="AG124" s="148"/>
      <c r="AH124" s="148" t="s">
        <v>695</v>
      </c>
      <c r="AI124" s="148" t="e">
        <v>#REF!</v>
      </c>
      <c r="AJ124" s="148" t="e">
        <v>#REF!</v>
      </c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</row>
    <row r="125" ht="14.25" customHeight="1">
      <c r="A125" s="152" t="s">
        <v>13</v>
      </c>
      <c r="B125" s="135" t="s">
        <v>694</v>
      </c>
      <c r="C125" s="77">
        <v>46178.0</v>
      </c>
      <c r="D125" s="161"/>
      <c r="E125" s="136">
        <v>26.10594</v>
      </c>
      <c r="F125" s="60">
        <v>26.36558</v>
      </c>
      <c r="G125" s="62" t="s">
        <v>698</v>
      </c>
      <c r="H125" s="63" t="s">
        <v>34</v>
      </c>
      <c r="I125" s="155">
        <v>1.0</v>
      </c>
      <c r="J125" s="85">
        <v>28.29</v>
      </c>
      <c r="K125" s="80" t="s">
        <v>273</v>
      </c>
      <c r="L125" s="66" t="s">
        <v>699</v>
      </c>
      <c r="M125" s="156"/>
      <c r="N125" s="150"/>
      <c r="O125" s="87">
        <v>28.29</v>
      </c>
      <c r="P125" s="151" t="s">
        <v>153</v>
      </c>
      <c r="Q125" s="143" t="s">
        <v>154</v>
      </c>
      <c r="R125" s="74" t="s">
        <v>495</v>
      </c>
      <c r="S125" s="145"/>
      <c r="T125" s="146">
        <f t="shared" si="10"/>
        <v>1512</v>
      </c>
      <c r="U125" s="146">
        <f t="shared" ref="U125:U135" si="15">round((O125*89)+(550*N125),-1)</f>
        <v>2520</v>
      </c>
      <c r="V125" s="147" t="s">
        <v>38</v>
      </c>
      <c r="W125" s="74" t="b">
        <v>0</v>
      </c>
      <c r="X125" s="74" t="b">
        <v>0</v>
      </c>
      <c r="Y125" s="74" t="b">
        <v>0</v>
      </c>
      <c r="Z125" s="148" t="str">
        <f>IFERROR(__xludf.DUMMYFUNCTION("""COMPUTED_VALUE"""),"#REF!")</f>
        <v>#REF!</v>
      </c>
      <c r="AA125" s="148" t="str">
        <f>IFERROR(__xludf.DUMMYFUNCTION("""COMPUTED_VALUE"""),"#REF!")</f>
        <v>#REF!</v>
      </c>
      <c r="AB125" s="148" t="str">
        <f>IFERROR(__xludf.DUMMYFUNCTION("""COMPUTED_VALUE"""),"#REF!")</f>
        <v>#REF!</v>
      </c>
      <c r="AC125" s="153">
        <v>46178.0</v>
      </c>
      <c r="AD125" s="148"/>
      <c r="AE125" s="47"/>
      <c r="AF125" s="148" t="s">
        <v>700</v>
      </c>
      <c r="AG125" s="148"/>
      <c r="AH125" s="148" t="s">
        <v>698</v>
      </c>
      <c r="AI125" s="148" t="e">
        <v>#REF!</v>
      </c>
      <c r="AJ125" s="148" t="e">
        <v>#REF!</v>
      </c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</row>
    <row r="126" ht="14.25" customHeight="1">
      <c r="A126" s="152" t="s">
        <v>13</v>
      </c>
      <c r="B126" s="135" t="s">
        <v>694</v>
      </c>
      <c r="C126" s="77">
        <v>46178.0</v>
      </c>
      <c r="D126" s="161"/>
      <c r="E126" s="136">
        <v>26.10697</v>
      </c>
      <c r="F126" s="60">
        <v>26.36651</v>
      </c>
      <c r="G126" s="62" t="s">
        <v>701</v>
      </c>
      <c r="H126" s="63" t="s">
        <v>34</v>
      </c>
      <c r="I126" s="155">
        <v>1.0</v>
      </c>
      <c r="J126" s="85">
        <v>19.83</v>
      </c>
      <c r="K126" s="80" t="s">
        <v>160</v>
      </c>
      <c r="L126" s="66" t="s">
        <v>157</v>
      </c>
      <c r="M126" s="156"/>
      <c r="N126" s="150"/>
      <c r="O126" s="87">
        <v>19.83</v>
      </c>
      <c r="P126" s="151" t="s">
        <v>153</v>
      </c>
      <c r="Q126" s="143" t="s">
        <v>154</v>
      </c>
      <c r="R126" s="74" t="s">
        <v>495</v>
      </c>
      <c r="S126" s="145"/>
      <c r="T126" s="146">
        <f t="shared" si="10"/>
        <v>1056</v>
      </c>
      <c r="U126" s="146">
        <f t="shared" si="15"/>
        <v>1760</v>
      </c>
      <c r="V126" s="147" t="s">
        <v>38</v>
      </c>
      <c r="W126" s="74" t="b">
        <v>0</v>
      </c>
      <c r="X126" s="74" t="b">
        <v>0</v>
      </c>
      <c r="Y126" s="74" t="b">
        <v>0</v>
      </c>
      <c r="Z126" s="148" t="str">
        <f>IFERROR(__xludf.DUMMYFUNCTION("""COMPUTED_VALUE"""),"#REF!")</f>
        <v>#REF!</v>
      </c>
      <c r="AA126" s="148" t="str">
        <f>IFERROR(__xludf.DUMMYFUNCTION("""COMPUTED_VALUE"""),"#REF!")</f>
        <v>#REF!</v>
      </c>
      <c r="AB126" s="148" t="str">
        <f>IFERROR(__xludf.DUMMYFUNCTION("""COMPUTED_VALUE"""),"#REF!")</f>
        <v>#REF!</v>
      </c>
      <c r="AC126" s="153">
        <v>46178.0</v>
      </c>
      <c r="AD126" s="148"/>
      <c r="AE126" s="47"/>
      <c r="AF126" s="148" t="s">
        <v>702</v>
      </c>
      <c r="AG126" s="148"/>
      <c r="AH126" s="148" t="s">
        <v>701</v>
      </c>
      <c r="AI126" s="148" t="e">
        <v>#REF!</v>
      </c>
      <c r="AJ126" s="148" t="e">
        <v>#REF!</v>
      </c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</row>
    <row r="127" ht="14.25" customHeight="1">
      <c r="A127" s="152" t="s">
        <v>13</v>
      </c>
      <c r="B127" s="135" t="s">
        <v>694</v>
      </c>
      <c r="C127" s="77">
        <v>46178.0</v>
      </c>
      <c r="D127" s="161"/>
      <c r="E127" s="136">
        <v>26.10862</v>
      </c>
      <c r="F127" s="60">
        <v>26.36636</v>
      </c>
      <c r="G127" s="62" t="s">
        <v>703</v>
      </c>
      <c r="H127" s="63" t="s">
        <v>34</v>
      </c>
      <c r="I127" s="155">
        <v>1.0</v>
      </c>
      <c r="J127" s="85">
        <v>4.56</v>
      </c>
      <c r="K127" s="80" t="s">
        <v>68</v>
      </c>
      <c r="L127" s="66" t="s">
        <v>704</v>
      </c>
      <c r="M127" s="156"/>
      <c r="N127" s="150"/>
      <c r="O127" s="87">
        <v>4.56</v>
      </c>
      <c r="P127" s="151" t="s">
        <v>153</v>
      </c>
      <c r="Q127" s="143" t="s">
        <v>154</v>
      </c>
      <c r="R127" s="74" t="s">
        <v>495</v>
      </c>
      <c r="S127" s="145"/>
      <c r="T127" s="146">
        <f t="shared" si="10"/>
        <v>246</v>
      </c>
      <c r="U127" s="146">
        <f t="shared" si="15"/>
        <v>410</v>
      </c>
      <c r="V127" s="147" t="s">
        <v>38</v>
      </c>
      <c r="W127" s="74" t="b">
        <v>0</v>
      </c>
      <c r="X127" s="74" t="b">
        <v>0</v>
      </c>
      <c r="Y127" s="74" t="b">
        <v>0</v>
      </c>
      <c r="Z127" s="148" t="str">
        <f>IFERROR(__xludf.DUMMYFUNCTION("""COMPUTED_VALUE"""),"#REF!")</f>
        <v>#REF!</v>
      </c>
      <c r="AA127" s="148" t="str">
        <f>IFERROR(__xludf.DUMMYFUNCTION("""COMPUTED_VALUE"""),"#REF!")</f>
        <v>#REF!</v>
      </c>
      <c r="AB127" s="148" t="str">
        <f>IFERROR(__xludf.DUMMYFUNCTION("""COMPUTED_VALUE"""),"#REF!")</f>
        <v>#REF!</v>
      </c>
      <c r="AC127" s="153">
        <v>46178.0</v>
      </c>
      <c r="AD127" s="148"/>
      <c r="AE127" s="47"/>
      <c r="AF127" s="148" t="s">
        <v>705</v>
      </c>
      <c r="AG127" s="148"/>
      <c r="AH127" s="148" t="s">
        <v>703</v>
      </c>
      <c r="AI127" s="148" t="e">
        <v>#REF!</v>
      </c>
      <c r="AJ127" s="148" t="e">
        <v>#REF!</v>
      </c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</row>
    <row r="128" ht="14.25" customHeight="1">
      <c r="A128" s="152" t="s">
        <v>13</v>
      </c>
      <c r="B128" s="135" t="s">
        <v>694</v>
      </c>
      <c r="C128" s="77">
        <v>46178.0</v>
      </c>
      <c r="D128" s="161"/>
      <c r="E128" s="136">
        <v>25.9882</v>
      </c>
      <c r="F128" s="60">
        <v>25.33782</v>
      </c>
      <c r="G128" s="62" t="s">
        <v>706</v>
      </c>
      <c r="H128" s="63" t="s">
        <v>34</v>
      </c>
      <c r="I128" s="155">
        <v>1.0</v>
      </c>
      <c r="J128" s="85">
        <v>4.98</v>
      </c>
      <c r="K128" s="80" t="s">
        <v>68</v>
      </c>
      <c r="L128" s="66" t="s">
        <v>707</v>
      </c>
      <c r="M128" s="156"/>
      <c r="N128" s="150"/>
      <c r="O128" s="87">
        <v>4.98</v>
      </c>
      <c r="P128" s="151" t="s">
        <v>162</v>
      </c>
      <c r="Q128" s="143" t="s">
        <v>163</v>
      </c>
      <c r="R128" s="74"/>
      <c r="S128" s="145"/>
      <c r="T128" s="146">
        <f t="shared" si="10"/>
        <v>264</v>
      </c>
      <c r="U128" s="146">
        <f t="shared" si="15"/>
        <v>440</v>
      </c>
      <c r="V128" s="147" t="s">
        <v>38</v>
      </c>
      <c r="W128" s="74" t="b">
        <v>0</v>
      </c>
      <c r="X128" s="74" t="b">
        <v>0</v>
      </c>
      <c r="Y128" s="74" t="b">
        <v>0</v>
      </c>
      <c r="Z128" s="148" t="str">
        <f>IFERROR(__xludf.DUMMYFUNCTION("""COMPUTED_VALUE"""),"#REF!")</f>
        <v>#REF!</v>
      </c>
      <c r="AA128" s="148" t="str">
        <f>IFERROR(__xludf.DUMMYFUNCTION("""COMPUTED_VALUE"""),"#REF!")</f>
        <v>#REF!</v>
      </c>
      <c r="AB128" s="148" t="str">
        <f>IFERROR(__xludf.DUMMYFUNCTION("""COMPUTED_VALUE"""),"#REF!")</f>
        <v>#REF!</v>
      </c>
      <c r="AC128" s="153">
        <v>46178.0</v>
      </c>
      <c r="AD128" s="148"/>
      <c r="AE128" s="47"/>
      <c r="AF128" s="148" t="s">
        <v>708</v>
      </c>
      <c r="AG128" s="148"/>
      <c r="AH128" s="148" t="s">
        <v>706</v>
      </c>
      <c r="AI128" s="148" t="e">
        <v>#REF!</v>
      </c>
      <c r="AJ128" s="148" t="e">
        <v>#REF!</v>
      </c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</row>
    <row r="129" ht="14.25" customHeight="1">
      <c r="A129" s="152" t="s">
        <v>13</v>
      </c>
      <c r="B129" s="135" t="s">
        <v>694</v>
      </c>
      <c r="C129" s="77">
        <v>46178.0</v>
      </c>
      <c r="D129" s="161"/>
      <c r="E129" s="136">
        <v>25.9708</v>
      </c>
      <c r="F129" s="159">
        <v>25.3351</v>
      </c>
      <c r="G129" s="62" t="s">
        <v>709</v>
      </c>
      <c r="H129" s="63" t="s">
        <v>34</v>
      </c>
      <c r="I129" s="155">
        <v>1.0</v>
      </c>
      <c r="J129" s="85">
        <v>2.34</v>
      </c>
      <c r="K129" s="80" t="s">
        <v>269</v>
      </c>
      <c r="L129" s="66" t="s">
        <v>710</v>
      </c>
      <c r="M129" s="156"/>
      <c r="N129" s="150"/>
      <c r="O129" s="87">
        <v>2.34</v>
      </c>
      <c r="P129" s="151" t="s">
        <v>162</v>
      </c>
      <c r="Q129" s="143" t="s">
        <v>163</v>
      </c>
      <c r="R129" s="74"/>
      <c r="S129" s="145"/>
      <c r="T129" s="146">
        <f t="shared" si="10"/>
        <v>126</v>
      </c>
      <c r="U129" s="146">
        <f t="shared" si="15"/>
        <v>210</v>
      </c>
      <c r="V129" s="147" t="s">
        <v>38</v>
      </c>
      <c r="W129" s="74" t="b">
        <v>0</v>
      </c>
      <c r="X129" s="74" t="b">
        <v>0</v>
      </c>
      <c r="Y129" s="74" t="b">
        <v>0</v>
      </c>
      <c r="Z129" s="148" t="str">
        <f>IFERROR(__xludf.DUMMYFUNCTION("""COMPUTED_VALUE"""),"#REF!")</f>
        <v>#REF!</v>
      </c>
      <c r="AA129" s="148" t="str">
        <f>IFERROR(__xludf.DUMMYFUNCTION("""COMPUTED_VALUE"""),"#REF!")</f>
        <v>#REF!</v>
      </c>
      <c r="AB129" s="148" t="str">
        <f>IFERROR(__xludf.DUMMYFUNCTION("""COMPUTED_VALUE"""),"#REF!")</f>
        <v>#REF!</v>
      </c>
      <c r="AC129" s="153">
        <v>46178.0</v>
      </c>
      <c r="AD129" s="148"/>
      <c r="AE129" s="47"/>
      <c r="AF129" s="148" t="s">
        <v>711</v>
      </c>
      <c r="AG129" s="148"/>
      <c r="AH129" s="148" t="s">
        <v>709</v>
      </c>
      <c r="AI129" s="148" t="e">
        <v>#REF!</v>
      </c>
      <c r="AJ129" s="148" t="e">
        <v>#REF!</v>
      </c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</row>
    <row r="130" ht="14.25" customHeight="1">
      <c r="A130" s="152" t="s">
        <v>13</v>
      </c>
      <c r="B130" s="135" t="s">
        <v>694</v>
      </c>
      <c r="C130" s="77">
        <v>46178.0</v>
      </c>
      <c r="D130" s="161"/>
      <c r="E130" s="136">
        <v>25.9384</v>
      </c>
      <c r="F130" s="60">
        <v>25.33753</v>
      </c>
      <c r="G130" s="62" t="s">
        <v>712</v>
      </c>
      <c r="H130" s="63" t="s">
        <v>45</v>
      </c>
      <c r="I130" s="155">
        <v>1.0</v>
      </c>
      <c r="J130" s="85">
        <v>1.77</v>
      </c>
      <c r="K130" s="80" t="s">
        <v>177</v>
      </c>
      <c r="L130" s="66" t="s">
        <v>713</v>
      </c>
      <c r="M130" s="156"/>
      <c r="N130" s="150"/>
      <c r="O130" s="87">
        <v>1.77</v>
      </c>
      <c r="P130" s="151" t="s">
        <v>162</v>
      </c>
      <c r="Q130" s="143" t="s">
        <v>163</v>
      </c>
      <c r="R130" s="74"/>
      <c r="S130" s="145"/>
      <c r="T130" s="146">
        <f t="shared" si="10"/>
        <v>96</v>
      </c>
      <c r="U130" s="146">
        <f t="shared" si="15"/>
        <v>160</v>
      </c>
      <c r="V130" s="147" t="s">
        <v>38</v>
      </c>
      <c r="W130" s="74" t="b">
        <v>0</v>
      </c>
      <c r="X130" s="74" t="b">
        <v>0</v>
      </c>
      <c r="Y130" s="74" t="b">
        <v>0</v>
      </c>
      <c r="Z130" s="148" t="str">
        <f>IFERROR(__xludf.DUMMYFUNCTION("""COMPUTED_VALUE"""),"#REF!")</f>
        <v>#REF!</v>
      </c>
      <c r="AA130" s="148" t="str">
        <f>IFERROR(__xludf.DUMMYFUNCTION("""COMPUTED_VALUE"""),"#REF!")</f>
        <v>#REF!</v>
      </c>
      <c r="AB130" s="148" t="str">
        <f>IFERROR(__xludf.DUMMYFUNCTION("""COMPUTED_VALUE"""),"#REF!")</f>
        <v>#REF!</v>
      </c>
      <c r="AC130" s="153">
        <v>46178.0</v>
      </c>
      <c r="AD130" s="148"/>
      <c r="AE130" s="47"/>
      <c r="AF130" s="148" t="s">
        <v>714</v>
      </c>
      <c r="AG130" s="148"/>
      <c r="AH130" s="148" t="s">
        <v>712</v>
      </c>
      <c r="AI130" s="148" t="e">
        <v>#REF!</v>
      </c>
      <c r="AJ130" s="148" t="e">
        <v>#REF!</v>
      </c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</row>
    <row r="131" ht="14.25" customHeight="1">
      <c r="A131" s="152" t="s">
        <v>13</v>
      </c>
      <c r="B131" s="135" t="s">
        <v>715</v>
      </c>
      <c r="C131" s="58">
        <v>46179.0</v>
      </c>
      <c r="D131" s="166"/>
      <c r="E131" s="166" t="s">
        <v>716</v>
      </c>
      <c r="F131" s="168"/>
      <c r="G131" s="62" t="s">
        <v>717</v>
      </c>
      <c r="H131" s="63" t="s">
        <v>551</v>
      </c>
      <c r="I131" s="178">
        <v>11.0</v>
      </c>
      <c r="J131" s="91">
        <v>118.19</v>
      </c>
      <c r="K131" s="65" t="s">
        <v>77</v>
      </c>
      <c r="L131" s="66" t="s">
        <v>718</v>
      </c>
      <c r="M131" s="81"/>
      <c r="N131" s="141"/>
      <c r="O131" s="205">
        <v>118.19</v>
      </c>
      <c r="P131" s="142" t="s">
        <v>162</v>
      </c>
      <c r="Q131" s="143" t="s">
        <v>163</v>
      </c>
      <c r="R131" s="74"/>
      <c r="S131" s="145"/>
      <c r="T131" s="146">
        <f t="shared" si="10"/>
        <v>6312</v>
      </c>
      <c r="U131" s="146">
        <f t="shared" si="15"/>
        <v>10520</v>
      </c>
      <c r="V131" s="147" t="s">
        <v>84</v>
      </c>
      <c r="W131" s="74" t="b">
        <v>0</v>
      </c>
      <c r="X131" s="74" t="b">
        <v>0</v>
      </c>
      <c r="Y131" s="74" t="b">
        <v>0</v>
      </c>
      <c r="Z131" s="148" t="str">
        <f>IFERROR(__xludf.DUMMYFUNCTION("""COMPUTED_VALUE"""),"#REF!")</f>
        <v>#REF!</v>
      </c>
      <c r="AA131" s="148" t="str">
        <f>IFERROR(__xludf.DUMMYFUNCTION("""COMPUTED_VALUE"""),"#REF!")</f>
        <v>#REF!</v>
      </c>
      <c r="AB131" s="148" t="str">
        <f>IFERROR(__xludf.DUMMYFUNCTION("""COMPUTED_VALUE"""),"#REF!")</f>
        <v>#REF!</v>
      </c>
      <c r="AC131" s="149">
        <v>46179.0</v>
      </c>
      <c r="AD131" s="148"/>
      <c r="AE131" s="148"/>
      <c r="AF131" s="148" t="s">
        <v>719</v>
      </c>
      <c r="AG131" s="148"/>
      <c r="AH131" s="148" t="s">
        <v>717</v>
      </c>
      <c r="AI131" s="148" t="e">
        <v>#REF!</v>
      </c>
      <c r="AJ131" s="148" t="e">
        <v>#REF!</v>
      </c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</row>
    <row r="132" ht="14.25" customHeight="1">
      <c r="A132" s="134" t="s">
        <v>13</v>
      </c>
      <c r="B132" s="135" t="s">
        <v>715</v>
      </c>
      <c r="C132" s="58">
        <v>46179.0</v>
      </c>
      <c r="D132" s="166"/>
      <c r="E132" s="136" t="s">
        <v>716</v>
      </c>
      <c r="F132" s="60"/>
      <c r="G132" s="90" t="s">
        <v>720</v>
      </c>
      <c r="H132" s="63" t="s">
        <v>551</v>
      </c>
      <c r="I132" s="178">
        <v>1.0</v>
      </c>
      <c r="J132" s="206">
        <v>18.53</v>
      </c>
      <c r="K132" s="65" t="s">
        <v>77</v>
      </c>
      <c r="L132" s="66" t="s">
        <v>718</v>
      </c>
      <c r="M132" s="81"/>
      <c r="N132" s="141"/>
      <c r="O132" s="205">
        <v>18.53</v>
      </c>
      <c r="P132" s="142" t="s">
        <v>153</v>
      </c>
      <c r="Q132" s="143" t="s">
        <v>154</v>
      </c>
      <c r="R132" s="74" t="s">
        <v>495</v>
      </c>
      <c r="S132" s="145"/>
      <c r="T132" s="146">
        <f t="shared" si="10"/>
        <v>990</v>
      </c>
      <c r="U132" s="146">
        <f t="shared" si="15"/>
        <v>1650</v>
      </c>
      <c r="V132" s="147" t="s">
        <v>84</v>
      </c>
      <c r="W132" s="74" t="b">
        <v>0</v>
      </c>
      <c r="X132" s="74" t="b">
        <v>0</v>
      </c>
      <c r="Y132" s="74" t="b">
        <v>0</v>
      </c>
      <c r="Z132" s="148" t="str">
        <f>IFERROR(__xludf.DUMMYFUNCTION("""COMPUTED_VALUE"""),"#REF!")</f>
        <v>#REF!</v>
      </c>
      <c r="AA132" s="148" t="str">
        <f>IFERROR(__xludf.DUMMYFUNCTION("""COMPUTED_VALUE"""),"#REF!")</f>
        <v>#REF!</v>
      </c>
      <c r="AB132" s="148" t="str">
        <f>IFERROR(__xludf.DUMMYFUNCTION("""COMPUTED_VALUE"""),"#REF!")</f>
        <v>#REF!</v>
      </c>
      <c r="AC132" s="149">
        <v>46179.0</v>
      </c>
      <c r="AD132" s="148"/>
      <c r="AE132" s="148"/>
      <c r="AF132" s="148" t="s">
        <v>719</v>
      </c>
      <c r="AG132" s="148"/>
      <c r="AH132" s="148" t="s">
        <v>720</v>
      </c>
      <c r="AI132" s="148" t="e">
        <v>#REF!</v>
      </c>
      <c r="AJ132" s="148" t="e">
        <v>#REF!</v>
      </c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</row>
    <row r="133" ht="14.25" customHeight="1">
      <c r="A133" s="134" t="s">
        <v>13</v>
      </c>
      <c r="B133" s="135" t="s">
        <v>721</v>
      </c>
      <c r="C133" s="77">
        <v>46179.0</v>
      </c>
      <c r="D133" s="161"/>
      <c r="E133" s="136">
        <v>26.10827</v>
      </c>
      <c r="F133" s="60">
        <v>26.36619</v>
      </c>
      <c r="G133" s="62" t="s">
        <v>722</v>
      </c>
      <c r="H133" s="63" t="s">
        <v>45</v>
      </c>
      <c r="I133" s="155">
        <v>1.0</v>
      </c>
      <c r="J133" s="85">
        <v>0.82</v>
      </c>
      <c r="K133" s="80" t="s">
        <v>126</v>
      </c>
      <c r="L133" s="66" t="s">
        <v>723</v>
      </c>
      <c r="M133" s="156">
        <v>19.0</v>
      </c>
      <c r="N133" s="150">
        <v>0.129</v>
      </c>
      <c r="O133" s="87">
        <v>0.7941999999999999</v>
      </c>
      <c r="P133" s="151" t="s">
        <v>153</v>
      </c>
      <c r="Q133" s="143" t="s">
        <v>154</v>
      </c>
      <c r="R133" s="74" t="s">
        <v>495</v>
      </c>
      <c r="S133" s="145"/>
      <c r="T133" s="146">
        <f t="shared" si="10"/>
        <v>84</v>
      </c>
      <c r="U133" s="146">
        <f t="shared" si="15"/>
        <v>140</v>
      </c>
      <c r="V133" s="147" t="s">
        <v>38</v>
      </c>
      <c r="W133" s="74" t="b">
        <v>0</v>
      </c>
      <c r="X133" s="74" t="b">
        <v>0</v>
      </c>
      <c r="Y133" s="74" t="b">
        <v>0</v>
      </c>
      <c r="Z133" s="148" t="str">
        <f>IFERROR(__xludf.DUMMYFUNCTION("""COMPUTED_VALUE"""),"#REF!")</f>
        <v>#REF!</v>
      </c>
      <c r="AA133" s="148" t="str">
        <f>IFERROR(__xludf.DUMMYFUNCTION("""COMPUTED_VALUE"""),"#REF!")</f>
        <v>#REF!</v>
      </c>
      <c r="AB133" s="148" t="str">
        <f>IFERROR(__xludf.DUMMYFUNCTION("""COMPUTED_VALUE"""),"#REF!")</f>
        <v>#REF!</v>
      </c>
      <c r="AC133" s="153">
        <v>46179.0</v>
      </c>
      <c r="AD133" s="148"/>
      <c r="AE133" s="47"/>
      <c r="AF133" s="148" t="s">
        <v>724</v>
      </c>
      <c r="AG133" s="148"/>
      <c r="AH133" s="148" t="s">
        <v>722</v>
      </c>
      <c r="AI133" s="148" t="e">
        <v>#REF!</v>
      </c>
      <c r="AJ133" s="148" t="e">
        <v>#REF!</v>
      </c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</row>
    <row r="134" ht="14.25" customHeight="1">
      <c r="A134" s="134" t="s">
        <v>13</v>
      </c>
      <c r="B134" s="135" t="s">
        <v>721</v>
      </c>
      <c r="C134" s="77">
        <v>46179.0</v>
      </c>
      <c r="D134" s="161"/>
      <c r="E134" s="136">
        <v>26.10407</v>
      </c>
      <c r="F134" s="60">
        <v>26.35491</v>
      </c>
      <c r="G134" s="62" t="s">
        <v>725</v>
      </c>
      <c r="H134" s="63" t="s">
        <v>45</v>
      </c>
      <c r="I134" s="155">
        <v>1.0</v>
      </c>
      <c r="J134" s="85">
        <v>3.01</v>
      </c>
      <c r="K134" s="80" t="s">
        <v>46</v>
      </c>
      <c r="L134" s="66" t="s">
        <v>726</v>
      </c>
      <c r="M134" s="156">
        <v>44.0</v>
      </c>
      <c r="N134" s="150">
        <v>0.422</v>
      </c>
      <c r="O134" s="87">
        <v>2.9255999999999998</v>
      </c>
      <c r="P134" s="151" t="s">
        <v>162</v>
      </c>
      <c r="Q134" s="143" t="s">
        <v>163</v>
      </c>
      <c r="R134" s="74"/>
      <c r="S134" s="158"/>
      <c r="T134" s="146">
        <f t="shared" si="10"/>
        <v>294</v>
      </c>
      <c r="U134" s="146">
        <f t="shared" si="15"/>
        <v>490</v>
      </c>
      <c r="V134" s="147" t="s">
        <v>38</v>
      </c>
      <c r="W134" s="74" t="b">
        <v>0</v>
      </c>
      <c r="X134" s="74" t="b">
        <v>0</v>
      </c>
      <c r="Y134" s="74" t="b">
        <v>0</v>
      </c>
      <c r="Z134" s="148" t="str">
        <f>IFERROR(__xludf.DUMMYFUNCTION("""COMPUTED_VALUE"""),"#REF!")</f>
        <v>#REF!</v>
      </c>
      <c r="AA134" s="148" t="str">
        <f>IFERROR(__xludf.DUMMYFUNCTION("""COMPUTED_VALUE"""),"#REF!")</f>
        <v>#REF!</v>
      </c>
      <c r="AB134" s="148" t="str">
        <f>IFERROR(__xludf.DUMMYFUNCTION("""COMPUTED_VALUE"""),"#REF!")</f>
        <v>#REF!</v>
      </c>
      <c r="AC134" s="153">
        <v>46179.0</v>
      </c>
      <c r="AD134" s="148"/>
      <c r="AE134" s="47"/>
      <c r="AF134" s="148" t="s">
        <v>727</v>
      </c>
      <c r="AG134" s="148"/>
      <c r="AH134" s="148" t="s">
        <v>725</v>
      </c>
      <c r="AI134" s="148" t="e">
        <v>#REF!</v>
      </c>
      <c r="AJ134" s="148" t="e">
        <v>#REF!</v>
      </c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</row>
    <row r="135" ht="14.25" customHeight="1">
      <c r="A135" s="134" t="s">
        <v>13</v>
      </c>
      <c r="B135" s="135" t="s">
        <v>721</v>
      </c>
      <c r="C135" s="77">
        <v>46179.0</v>
      </c>
      <c r="D135" s="161"/>
      <c r="E135" s="136">
        <v>25.10256</v>
      </c>
      <c r="F135" s="60">
        <v>25.34918</v>
      </c>
      <c r="G135" s="62" t="s">
        <v>728</v>
      </c>
      <c r="H135" s="63" t="s">
        <v>45</v>
      </c>
      <c r="I135" s="155">
        <v>1.0</v>
      </c>
      <c r="J135" s="85">
        <v>6.29</v>
      </c>
      <c r="K135" s="80" t="s">
        <v>51</v>
      </c>
      <c r="L135" s="66" t="s">
        <v>729</v>
      </c>
      <c r="M135" s="156">
        <v>112.0</v>
      </c>
      <c r="N135" s="150">
        <v>1.2570000000000001</v>
      </c>
      <c r="O135" s="87">
        <v>6.0386</v>
      </c>
      <c r="P135" s="151" t="s">
        <v>162</v>
      </c>
      <c r="Q135" s="143" t="s">
        <v>163</v>
      </c>
      <c r="R135" s="74"/>
      <c r="S135" s="158"/>
      <c r="T135" s="146">
        <f t="shared" si="10"/>
        <v>738</v>
      </c>
      <c r="U135" s="146">
        <f t="shared" si="15"/>
        <v>1230</v>
      </c>
      <c r="V135" s="147" t="s">
        <v>38</v>
      </c>
      <c r="W135" s="74" t="b">
        <v>0</v>
      </c>
      <c r="X135" s="74" t="b">
        <v>0</v>
      </c>
      <c r="Y135" s="74" t="b">
        <v>0</v>
      </c>
      <c r="Z135" s="148" t="str">
        <f>IFERROR(__xludf.DUMMYFUNCTION("""COMPUTED_VALUE"""),"#REF!")</f>
        <v>#REF!</v>
      </c>
      <c r="AA135" s="148" t="str">
        <f>IFERROR(__xludf.DUMMYFUNCTION("""COMPUTED_VALUE"""),"#REF!")</f>
        <v>#REF!</v>
      </c>
      <c r="AB135" s="148" t="str">
        <f>IFERROR(__xludf.DUMMYFUNCTION("""COMPUTED_VALUE"""),"#REF!")</f>
        <v>#REF!</v>
      </c>
      <c r="AC135" s="153">
        <v>46179.0</v>
      </c>
      <c r="AD135" s="148"/>
      <c r="AE135" s="47"/>
      <c r="AF135" s="148" t="s">
        <v>730</v>
      </c>
      <c r="AG135" s="148"/>
      <c r="AH135" s="148" t="s">
        <v>728</v>
      </c>
      <c r="AI135" s="148" t="e">
        <v>#REF!</v>
      </c>
      <c r="AJ135" s="148" t="e">
        <v>#REF!</v>
      </c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</row>
    <row r="136" ht="14.25" customHeight="1">
      <c r="A136" s="134" t="s">
        <v>13</v>
      </c>
      <c r="B136" s="135" t="s">
        <v>721</v>
      </c>
      <c r="C136" s="77">
        <v>46179.0</v>
      </c>
      <c r="D136" s="161"/>
      <c r="E136" s="136">
        <v>25.9497</v>
      </c>
      <c r="F136" s="207">
        <v>25.32836</v>
      </c>
      <c r="G136" s="62" t="s">
        <v>731</v>
      </c>
      <c r="H136" s="63" t="s">
        <v>45</v>
      </c>
      <c r="I136" s="155">
        <v>1.0</v>
      </c>
      <c r="J136" s="85">
        <v>2.22</v>
      </c>
      <c r="K136" s="80" t="s">
        <v>177</v>
      </c>
      <c r="L136" s="66" t="s">
        <v>732</v>
      </c>
      <c r="M136" s="156"/>
      <c r="N136" s="150"/>
      <c r="O136" s="87">
        <v>2.22</v>
      </c>
      <c r="P136" s="151" t="s">
        <v>162</v>
      </c>
      <c r="Q136" s="143" t="s">
        <v>163</v>
      </c>
      <c r="R136" s="74"/>
      <c r="S136" s="158"/>
      <c r="T136" s="146">
        <f t="shared" si="10"/>
        <v>120</v>
      </c>
      <c r="U136" s="146">
        <f t="shared" ref="U136:U137" si="16">round((O136*89),-1)</f>
        <v>200</v>
      </c>
      <c r="V136" s="147" t="s">
        <v>38</v>
      </c>
      <c r="W136" s="74" t="b">
        <v>0</v>
      </c>
      <c r="X136" s="74" t="b">
        <v>0</v>
      </c>
      <c r="Y136" s="74" t="b">
        <v>0</v>
      </c>
      <c r="Z136" s="148" t="str">
        <f>IFERROR(__xludf.DUMMYFUNCTION("""COMPUTED_VALUE"""),"#REF!")</f>
        <v>#REF!</v>
      </c>
      <c r="AA136" s="148" t="str">
        <f>IFERROR(__xludf.DUMMYFUNCTION("""COMPUTED_VALUE"""),"#REF!")</f>
        <v>#REF!</v>
      </c>
      <c r="AB136" s="148" t="str">
        <f>IFERROR(__xludf.DUMMYFUNCTION("""COMPUTED_VALUE"""),"#REF!")</f>
        <v>#REF!</v>
      </c>
      <c r="AC136" s="153">
        <v>46179.0</v>
      </c>
      <c r="AD136" s="148"/>
      <c r="AE136" s="47"/>
      <c r="AF136" s="148" t="s">
        <v>733</v>
      </c>
      <c r="AG136" s="148"/>
      <c r="AH136" s="148" t="s">
        <v>731</v>
      </c>
      <c r="AI136" s="148" t="e">
        <v>#REF!</v>
      </c>
      <c r="AJ136" s="148" t="e">
        <v>#REF!</v>
      </c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</row>
    <row r="137" ht="14.25" customHeight="1">
      <c r="A137" s="134" t="s">
        <v>13</v>
      </c>
      <c r="B137" s="135" t="s">
        <v>721</v>
      </c>
      <c r="C137" s="77">
        <v>46179.0</v>
      </c>
      <c r="D137" s="161"/>
      <c r="E137" s="136">
        <v>25.9496</v>
      </c>
      <c r="F137" s="60">
        <v>25.32839</v>
      </c>
      <c r="G137" s="62" t="s">
        <v>734</v>
      </c>
      <c r="H137" s="63" t="s">
        <v>45</v>
      </c>
      <c r="I137" s="155">
        <v>1.0</v>
      </c>
      <c r="J137" s="85">
        <v>2.77</v>
      </c>
      <c r="K137" s="80" t="s">
        <v>177</v>
      </c>
      <c r="L137" s="66" t="s">
        <v>735</v>
      </c>
      <c r="M137" s="156"/>
      <c r="N137" s="150"/>
      <c r="O137" s="87">
        <v>2.77</v>
      </c>
      <c r="P137" s="151" t="s">
        <v>162</v>
      </c>
      <c r="Q137" s="143" t="s">
        <v>163</v>
      </c>
      <c r="R137" s="74"/>
      <c r="S137" s="158"/>
      <c r="T137" s="146">
        <f t="shared" si="10"/>
        <v>150</v>
      </c>
      <c r="U137" s="146">
        <f t="shared" si="16"/>
        <v>250</v>
      </c>
      <c r="V137" s="147" t="s">
        <v>38</v>
      </c>
      <c r="W137" s="74" t="b">
        <v>0</v>
      </c>
      <c r="X137" s="74" t="b">
        <v>0</v>
      </c>
      <c r="Y137" s="74" t="b">
        <v>0</v>
      </c>
      <c r="Z137" s="148" t="str">
        <f>IFERROR(__xludf.DUMMYFUNCTION("""COMPUTED_VALUE"""),"#REF!")</f>
        <v>#REF!</v>
      </c>
      <c r="AA137" s="148" t="str">
        <f>IFERROR(__xludf.DUMMYFUNCTION("""COMPUTED_VALUE"""),"#REF!")</f>
        <v>#REF!</v>
      </c>
      <c r="AB137" s="148" t="str">
        <f>IFERROR(__xludf.DUMMYFUNCTION("""COMPUTED_VALUE"""),"#REF!")</f>
        <v>#REF!</v>
      </c>
      <c r="AC137" s="153">
        <v>46179.0</v>
      </c>
      <c r="AD137" s="148"/>
      <c r="AE137" s="47"/>
      <c r="AF137" s="148" t="s">
        <v>736</v>
      </c>
      <c r="AG137" s="148"/>
      <c r="AH137" s="148" t="s">
        <v>734</v>
      </c>
      <c r="AI137" s="148" t="e">
        <v>#REF!</v>
      </c>
      <c r="AJ137" s="148" t="e">
        <v>#REF!</v>
      </c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</row>
    <row r="138" ht="14.25" customHeight="1">
      <c r="A138" s="134" t="s">
        <v>13</v>
      </c>
      <c r="B138" s="208" t="s">
        <v>737</v>
      </c>
      <c r="C138" s="173">
        <v>46151.0</v>
      </c>
      <c r="D138" s="209" t="s">
        <v>738</v>
      </c>
      <c r="E138" s="166"/>
      <c r="F138" s="168"/>
      <c r="G138" s="90" t="s">
        <v>739</v>
      </c>
      <c r="H138" s="91" t="s">
        <v>62</v>
      </c>
      <c r="I138" s="210">
        <v>15.0</v>
      </c>
      <c r="J138" s="175">
        <v>36.85</v>
      </c>
      <c r="K138" s="65" t="s">
        <v>77</v>
      </c>
      <c r="L138" s="211" t="s">
        <v>740</v>
      </c>
      <c r="M138" s="156"/>
      <c r="N138" s="157"/>
      <c r="O138" s="212">
        <v>36.85</v>
      </c>
      <c r="P138" s="151" t="s">
        <v>162</v>
      </c>
      <c r="Q138" s="143" t="s">
        <v>163</v>
      </c>
      <c r="R138" s="74"/>
      <c r="S138" s="158"/>
      <c r="T138" s="146">
        <f t="shared" si="10"/>
        <v>1968</v>
      </c>
      <c r="U138" s="146">
        <f t="shared" ref="U138:U142" si="17">round((O138*89)+(550*N138),-1)</f>
        <v>3280</v>
      </c>
      <c r="V138" s="147" t="s">
        <v>84</v>
      </c>
      <c r="W138" s="74" t="b">
        <v>0</v>
      </c>
      <c r="X138" s="74" t="b">
        <v>0</v>
      </c>
      <c r="Y138" s="74" t="b">
        <v>0</v>
      </c>
      <c r="Z138" s="148" t="str">
        <f>IFERROR(__xludf.DUMMYFUNCTION("""COMPUTED_VALUE"""),"#REF!")</f>
        <v>#REF!</v>
      </c>
      <c r="AA138" s="148" t="str">
        <f>IFERROR(__xludf.DUMMYFUNCTION("""COMPUTED_VALUE"""),"#REF!")</f>
        <v>#REF!</v>
      </c>
      <c r="AB138" s="148" t="str">
        <f>IFERROR(__xludf.DUMMYFUNCTION("""COMPUTED_VALUE"""),"#REF!")</f>
        <v>#REF!</v>
      </c>
      <c r="AC138" s="153">
        <v>46151.0</v>
      </c>
      <c r="AD138" s="148"/>
      <c r="AE138" s="148" t="s">
        <v>738</v>
      </c>
      <c r="AF138" s="148" t="s">
        <v>613</v>
      </c>
      <c r="AG138" s="148"/>
      <c r="AH138" s="148" t="s">
        <v>739</v>
      </c>
      <c r="AI138" s="148" t="e">
        <v>#REF!</v>
      </c>
      <c r="AJ138" s="148" t="e">
        <v>#REF!</v>
      </c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</row>
    <row r="139" ht="14.25" customHeight="1">
      <c r="A139" s="152" t="s">
        <v>13</v>
      </c>
      <c r="B139" s="135" t="s">
        <v>741</v>
      </c>
      <c r="C139" s="77">
        <v>46182.0</v>
      </c>
      <c r="D139" s="161"/>
      <c r="E139" s="136">
        <v>26.10872</v>
      </c>
      <c r="F139" s="207">
        <v>26.36656</v>
      </c>
      <c r="G139" s="62" t="s">
        <v>742</v>
      </c>
      <c r="H139" s="63" t="s">
        <v>34</v>
      </c>
      <c r="I139" s="155">
        <v>1.0</v>
      </c>
      <c r="J139" s="85">
        <v>16.47</v>
      </c>
      <c r="K139" s="80" t="s">
        <v>269</v>
      </c>
      <c r="L139" s="66" t="s">
        <v>743</v>
      </c>
      <c r="M139" s="156"/>
      <c r="N139" s="157"/>
      <c r="O139" s="87">
        <v>16.47</v>
      </c>
      <c r="P139" s="151" t="s">
        <v>153</v>
      </c>
      <c r="Q139" s="143" t="s">
        <v>163</v>
      </c>
      <c r="R139" s="74"/>
      <c r="S139" s="158"/>
      <c r="T139" s="146">
        <f t="shared" si="10"/>
        <v>882</v>
      </c>
      <c r="U139" s="146">
        <f t="shared" si="17"/>
        <v>1470</v>
      </c>
      <c r="V139" s="147" t="s">
        <v>38</v>
      </c>
      <c r="W139" s="74" t="b">
        <v>0</v>
      </c>
      <c r="X139" s="74" t="b">
        <v>0</v>
      </c>
      <c r="Y139" s="74" t="b">
        <v>0</v>
      </c>
      <c r="Z139" s="148" t="str">
        <f>IFERROR(__xludf.DUMMYFUNCTION("""COMPUTED_VALUE"""),"#REF!")</f>
        <v>#REF!</v>
      </c>
      <c r="AA139" s="148" t="str">
        <f>IFERROR(__xludf.DUMMYFUNCTION("""COMPUTED_VALUE"""),"#REF!")</f>
        <v>#REF!</v>
      </c>
      <c r="AB139" s="148" t="str">
        <f>IFERROR(__xludf.DUMMYFUNCTION("""COMPUTED_VALUE"""),"#REF!")</f>
        <v>#REF!</v>
      </c>
      <c r="AC139" s="153">
        <v>46182.0</v>
      </c>
      <c r="AD139" s="148"/>
      <c r="AE139" s="47"/>
      <c r="AF139" s="148" t="s">
        <v>744</v>
      </c>
      <c r="AG139" s="148"/>
      <c r="AH139" s="148" t="s">
        <v>742</v>
      </c>
      <c r="AI139" s="148" t="e">
        <v>#REF!</v>
      </c>
      <c r="AJ139" s="148" t="e">
        <v>#REF!</v>
      </c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</row>
    <row r="140" ht="14.25" customHeight="1">
      <c r="A140" s="152" t="s">
        <v>13</v>
      </c>
      <c r="B140" s="135" t="s">
        <v>741</v>
      </c>
      <c r="C140" s="77">
        <v>46182.0</v>
      </c>
      <c r="D140" s="161"/>
      <c r="E140" s="136">
        <v>26.10811</v>
      </c>
      <c r="F140" s="213">
        <v>26.3659</v>
      </c>
      <c r="G140" s="62" t="s">
        <v>745</v>
      </c>
      <c r="H140" s="63" t="s">
        <v>34</v>
      </c>
      <c r="I140" s="155">
        <v>1.0</v>
      </c>
      <c r="J140" s="85">
        <v>3.19</v>
      </c>
      <c r="K140" s="80" t="s">
        <v>269</v>
      </c>
      <c r="L140" s="66" t="s">
        <v>746</v>
      </c>
      <c r="M140" s="156"/>
      <c r="N140" s="157"/>
      <c r="O140" s="87">
        <v>3.19</v>
      </c>
      <c r="P140" s="151" t="s">
        <v>153</v>
      </c>
      <c r="Q140" s="143" t="s">
        <v>163</v>
      </c>
      <c r="R140" s="74"/>
      <c r="S140" s="158"/>
      <c r="T140" s="146">
        <f t="shared" si="10"/>
        <v>168</v>
      </c>
      <c r="U140" s="146">
        <f t="shared" si="17"/>
        <v>280</v>
      </c>
      <c r="V140" s="147" t="s">
        <v>38</v>
      </c>
      <c r="W140" s="74" t="b">
        <v>0</v>
      </c>
      <c r="X140" s="74" t="b">
        <v>0</v>
      </c>
      <c r="Y140" s="74" t="b">
        <v>0</v>
      </c>
      <c r="Z140" s="148" t="str">
        <f>IFERROR(__xludf.DUMMYFUNCTION("""COMPUTED_VALUE"""),"#REF!")</f>
        <v>#REF!</v>
      </c>
      <c r="AA140" s="148" t="str">
        <f>IFERROR(__xludf.DUMMYFUNCTION("""COMPUTED_VALUE"""),"#REF!")</f>
        <v>#REF!</v>
      </c>
      <c r="AB140" s="148" t="str">
        <f>IFERROR(__xludf.DUMMYFUNCTION("""COMPUTED_VALUE"""),"#REF!")</f>
        <v>#REF!</v>
      </c>
      <c r="AC140" s="153">
        <v>46182.0</v>
      </c>
      <c r="AD140" s="148"/>
      <c r="AE140" s="47"/>
      <c r="AF140" s="148" t="s">
        <v>747</v>
      </c>
      <c r="AG140" s="148"/>
      <c r="AH140" s="148" t="s">
        <v>745</v>
      </c>
      <c r="AI140" s="148" t="e">
        <v>#REF!</v>
      </c>
      <c r="AJ140" s="148" t="e">
        <v>#REF!</v>
      </c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</row>
    <row r="141" ht="14.25" customHeight="1">
      <c r="A141" s="152" t="s">
        <v>13</v>
      </c>
      <c r="B141" s="135" t="s">
        <v>741</v>
      </c>
      <c r="C141" s="77">
        <v>46182.0</v>
      </c>
      <c r="D141" s="161"/>
      <c r="E141" s="136">
        <v>26.10875</v>
      </c>
      <c r="F141" s="60">
        <v>26.36664</v>
      </c>
      <c r="G141" s="62" t="s">
        <v>748</v>
      </c>
      <c r="H141" s="63" t="s">
        <v>45</v>
      </c>
      <c r="I141" s="155">
        <v>1.0</v>
      </c>
      <c r="J141" s="85">
        <v>3.26</v>
      </c>
      <c r="K141" s="80" t="s">
        <v>269</v>
      </c>
      <c r="L141" s="66" t="s">
        <v>749</v>
      </c>
      <c r="M141" s="156"/>
      <c r="N141" s="157"/>
      <c r="O141" s="87">
        <v>3.26</v>
      </c>
      <c r="P141" s="151" t="s">
        <v>153</v>
      </c>
      <c r="Q141" s="143" t="s">
        <v>163</v>
      </c>
      <c r="R141" s="74"/>
      <c r="S141" s="158"/>
      <c r="T141" s="146">
        <f t="shared" si="10"/>
        <v>174</v>
      </c>
      <c r="U141" s="146">
        <f t="shared" si="17"/>
        <v>290</v>
      </c>
      <c r="V141" s="147" t="s">
        <v>38</v>
      </c>
      <c r="W141" s="74" t="b">
        <v>0</v>
      </c>
      <c r="X141" s="74" t="b">
        <v>0</v>
      </c>
      <c r="Y141" s="74" t="b">
        <v>0</v>
      </c>
      <c r="Z141" s="148" t="str">
        <f>IFERROR(__xludf.DUMMYFUNCTION("""COMPUTED_VALUE"""),"#REF!")</f>
        <v>#REF!</v>
      </c>
      <c r="AA141" s="148" t="str">
        <f>IFERROR(__xludf.DUMMYFUNCTION("""COMPUTED_VALUE"""),"#REF!")</f>
        <v>#REF!</v>
      </c>
      <c r="AB141" s="148" t="str">
        <f>IFERROR(__xludf.DUMMYFUNCTION("""COMPUTED_VALUE"""),"#REF!")</f>
        <v>#REF!</v>
      </c>
      <c r="AC141" s="153">
        <v>46182.0</v>
      </c>
      <c r="AD141" s="148"/>
      <c r="AE141" s="47"/>
      <c r="AF141" s="148" t="s">
        <v>750</v>
      </c>
      <c r="AG141" s="148"/>
      <c r="AH141" s="148" t="s">
        <v>748</v>
      </c>
      <c r="AI141" s="148" t="e">
        <v>#REF!</v>
      </c>
      <c r="AJ141" s="148" t="e">
        <v>#REF!</v>
      </c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</row>
    <row r="142" ht="14.25" customHeight="1">
      <c r="A142" s="152" t="s">
        <v>13</v>
      </c>
      <c r="B142" s="135" t="s">
        <v>741</v>
      </c>
      <c r="C142" s="77">
        <v>46182.0</v>
      </c>
      <c r="D142" s="161"/>
      <c r="E142" s="136">
        <v>26.10812</v>
      </c>
      <c r="F142" s="207">
        <v>26.36591</v>
      </c>
      <c r="G142" s="62" t="s">
        <v>751</v>
      </c>
      <c r="H142" s="63" t="s">
        <v>45</v>
      </c>
      <c r="I142" s="155">
        <v>1.0</v>
      </c>
      <c r="J142" s="85">
        <v>7.79</v>
      </c>
      <c r="K142" s="80" t="s">
        <v>177</v>
      </c>
      <c r="L142" s="66" t="s">
        <v>752</v>
      </c>
      <c r="M142" s="156"/>
      <c r="N142" s="157"/>
      <c r="O142" s="87">
        <v>7.79</v>
      </c>
      <c r="P142" s="151" t="s">
        <v>153</v>
      </c>
      <c r="Q142" s="143" t="s">
        <v>163</v>
      </c>
      <c r="R142" s="74"/>
      <c r="S142" s="158"/>
      <c r="T142" s="146">
        <f t="shared" si="10"/>
        <v>414</v>
      </c>
      <c r="U142" s="146">
        <f t="shared" si="17"/>
        <v>690</v>
      </c>
      <c r="V142" s="147" t="s">
        <v>38</v>
      </c>
      <c r="W142" s="74" t="b">
        <v>0</v>
      </c>
      <c r="X142" s="74" t="b">
        <v>0</v>
      </c>
      <c r="Y142" s="74" t="b">
        <v>0</v>
      </c>
      <c r="Z142" s="148" t="str">
        <f>IFERROR(__xludf.DUMMYFUNCTION("""COMPUTED_VALUE"""),"#REF!")</f>
        <v>#REF!</v>
      </c>
      <c r="AA142" s="148" t="str">
        <f>IFERROR(__xludf.DUMMYFUNCTION("""COMPUTED_VALUE"""),"#REF!")</f>
        <v>#REF!</v>
      </c>
      <c r="AB142" s="148" t="str">
        <f>IFERROR(__xludf.DUMMYFUNCTION("""COMPUTED_VALUE"""),"#REF!")</f>
        <v>#REF!</v>
      </c>
      <c r="AC142" s="153">
        <v>46182.0</v>
      </c>
      <c r="AD142" s="148"/>
      <c r="AE142" s="47"/>
      <c r="AF142" s="148" t="s">
        <v>753</v>
      </c>
      <c r="AG142" s="148"/>
      <c r="AH142" s="148" t="s">
        <v>751</v>
      </c>
      <c r="AI142" s="148" t="e">
        <v>#REF!</v>
      </c>
      <c r="AJ142" s="148" t="e">
        <v>#REF!</v>
      </c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</row>
    <row r="143" ht="14.25" customHeight="1">
      <c r="A143" s="152" t="s">
        <v>13</v>
      </c>
      <c r="B143" s="135" t="s">
        <v>741</v>
      </c>
      <c r="C143" s="77">
        <v>46182.0</v>
      </c>
      <c r="D143" s="161"/>
      <c r="E143" s="136">
        <v>25.10151</v>
      </c>
      <c r="F143" s="60">
        <v>25.34643</v>
      </c>
      <c r="G143" s="62" t="s">
        <v>754</v>
      </c>
      <c r="H143" s="63" t="s">
        <v>45</v>
      </c>
      <c r="I143" s="155">
        <v>1.0</v>
      </c>
      <c r="J143" s="85">
        <v>7.35</v>
      </c>
      <c r="K143" s="80" t="s">
        <v>755</v>
      </c>
      <c r="L143" s="66" t="s">
        <v>756</v>
      </c>
      <c r="M143" s="156">
        <v>60.0</v>
      </c>
      <c r="N143" s="150">
        <v>3.863</v>
      </c>
      <c r="O143" s="87">
        <v>6.5774</v>
      </c>
      <c r="P143" s="151" t="s">
        <v>162</v>
      </c>
      <c r="Q143" s="143" t="s">
        <v>163</v>
      </c>
      <c r="R143" s="74"/>
      <c r="S143" s="158"/>
      <c r="T143" s="146">
        <f t="shared" si="10"/>
        <v>372</v>
      </c>
      <c r="U143" s="146">
        <f>round((O143*89)+(10*N143),-1)</f>
        <v>620</v>
      </c>
      <c r="V143" s="147" t="s">
        <v>38</v>
      </c>
      <c r="W143" s="74" t="b">
        <v>0</v>
      </c>
      <c r="X143" s="74" t="b">
        <v>0</v>
      </c>
      <c r="Y143" s="74" t="b">
        <v>0</v>
      </c>
      <c r="Z143" s="148" t="str">
        <f>IFERROR(__xludf.DUMMYFUNCTION("""COMPUTED_VALUE"""),"#REF!")</f>
        <v>#REF!</v>
      </c>
      <c r="AA143" s="148" t="str">
        <f>IFERROR(__xludf.DUMMYFUNCTION("""COMPUTED_VALUE"""),"#REF!")</f>
        <v>#REF!</v>
      </c>
      <c r="AB143" s="148" t="str">
        <f>IFERROR(__xludf.DUMMYFUNCTION("""COMPUTED_VALUE"""),"#REF!")</f>
        <v>#REF!</v>
      </c>
      <c r="AC143" s="153">
        <v>46182.0</v>
      </c>
      <c r="AD143" s="148"/>
      <c r="AE143" s="47"/>
      <c r="AF143" s="148" t="s">
        <v>757</v>
      </c>
      <c r="AG143" s="148"/>
      <c r="AH143" s="148" t="s">
        <v>754</v>
      </c>
      <c r="AI143" s="148" t="e">
        <v>#REF!</v>
      </c>
      <c r="AJ143" s="148" t="e">
        <v>#REF!</v>
      </c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</row>
    <row r="144" ht="14.25" customHeight="1">
      <c r="A144" s="152" t="s">
        <v>13</v>
      </c>
      <c r="B144" s="135" t="s">
        <v>758</v>
      </c>
      <c r="C144" s="77">
        <v>46183.0</v>
      </c>
      <c r="D144" s="161"/>
      <c r="E144" s="136">
        <v>26.10537</v>
      </c>
      <c r="F144" s="60">
        <v>26.35828</v>
      </c>
      <c r="G144" s="62" t="s">
        <v>759</v>
      </c>
      <c r="H144" s="63" t="s">
        <v>45</v>
      </c>
      <c r="I144" s="155">
        <v>1.0</v>
      </c>
      <c r="J144" s="85">
        <v>4.31</v>
      </c>
      <c r="K144" s="80" t="s">
        <v>188</v>
      </c>
      <c r="L144" s="66" t="s">
        <v>760</v>
      </c>
      <c r="M144" s="156">
        <v>14.0</v>
      </c>
      <c r="N144" s="157">
        <v>1.178</v>
      </c>
      <c r="O144" s="87">
        <v>4.0744</v>
      </c>
      <c r="P144" s="151" t="s">
        <v>153</v>
      </c>
      <c r="Q144" s="143" t="s">
        <v>761</v>
      </c>
      <c r="R144" s="74"/>
      <c r="S144" s="158"/>
      <c r="T144" s="146">
        <f t="shared" si="10"/>
        <v>0</v>
      </c>
      <c r="U144" s="146"/>
      <c r="V144" s="147"/>
      <c r="W144" s="74" t="b">
        <v>0</v>
      </c>
      <c r="X144" s="74" t="b">
        <v>0</v>
      </c>
      <c r="Y144" s="74" t="b">
        <v>0</v>
      </c>
      <c r="Z144" s="148" t="str">
        <f>IFERROR(__xludf.DUMMYFUNCTION("""COMPUTED_VALUE"""),"#REF!")</f>
        <v>#REF!</v>
      </c>
      <c r="AA144" s="148" t="str">
        <f>IFERROR(__xludf.DUMMYFUNCTION("""COMPUTED_VALUE"""),"#REF!")</f>
        <v>#REF!</v>
      </c>
      <c r="AB144" s="148" t="str">
        <f>IFERROR(__xludf.DUMMYFUNCTION("""COMPUTED_VALUE"""),"#REF!")</f>
        <v>#REF!</v>
      </c>
      <c r="AC144" s="153">
        <v>46183.0</v>
      </c>
      <c r="AD144" s="148"/>
      <c r="AE144" s="47"/>
      <c r="AF144" s="148" t="s">
        <v>762</v>
      </c>
      <c r="AG144" s="148"/>
      <c r="AH144" s="148" t="s">
        <v>759</v>
      </c>
      <c r="AI144" s="148" t="e">
        <v>#REF!</v>
      </c>
      <c r="AJ144" s="148" t="e">
        <v>#REF!</v>
      </c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</row>
    <row r="145" ht="14.25" customHeight="1">
      <c r="A145" s="152" t="s">
        <v>13</v>
      </c>
      <c r="B145" s="135" t="s">
        <v>758</v>
      </c>
      <c r="C145" s="77">
        <v>46183.0</v>
      </c>
      <c r="D145" s="161"/>
      <c r="E145" s="136">
        <v>26.10823</v>
      </c>
      <c r="F145" s="60">
        <v>26.36615</v>
      </c>
      <c r="G145" s="62" t="s">
        <v>763</v>
      </c>
      <c r="H145" s="63" t="s">
        <v>45</v>
      </c>
      <c r="I145" s="155">
        <v>1.0</v>
      </c>
      <c r="J145" s="85">
        <v>4.52</v>
      </c>
      <c r="K145" s="80" t="s">
        <v>188</v>
      </c>
      <c r="L145" s="66" t="s">
        <v>764</v>
      </c>
      <c r="M145" s="156">
        <v>6.0</v>
      </c>
      <c r="N145" s="157">
        <v>0.665</v>
      </c>
      <c r="O145" s="87">
        <v>4.387</v>
      </c>
      <c r="P145" s="151" t="s">
        <v>153</v>
      </c>
      <c r="Q145" s="143" t="s">
        <v>761</v>
      </c>
      <c r="R145" s="74"/>
      <c r="S145" s="158"/>
      <c r="T145" s="146">
        <f t="shared" si="10"/>
        <v>0</v>
      </c>
      <c r="U145" s="146"/>
      <c r="V145" s="147"/>
      <c r="W145" s="74" t="b">
        <v>0</v>
      </c>
      <c r="X145" s="74" t="b">
        <v>0</v>
      </c>
      <c r="Y145" s="74" t="b">
        <v>0</v>
      </c>
      <c r="Z145" s="148" t="str">
        <f>IFERROR(__xludf.DUMMYFUNCTION("""COMPUTED_VALUE"""),"#REF!")</f>
        <v>#REF!</v>
      </c>
      <c r="AA145" s="148" t="str">
        <f>IFERROR(__xludf.DUMMYFUNCTION("""COMPUTED_VALUE"""),"#REF!")</f>
        <v>#REF!</v>
      </c>
      <c r="AB145" s="148" t="str">
        <f>IFERROR(__xludf.DUMMYFUNCTION("""COMPUTED_VALUE"""),"#REF!")</f>
        <v>#REF!</v>
      </c>
      <c r="AC145" s="153">
        <v>46183.0</v>
      </c>
      <c r="AD145" s="148"/>
      <c r="AE145" s="47"/>
      <c r="AF145" s="148" t="s">
        <v>765</v>
      </c>
      <c r="AG145" s="148"/>
      <c r="AH145" s="148" t="s">
        <v>763</v>
      </c>
      <c r="AI145" s="148" t="e">
        <v>#REF!</v>
      </c>
      <c r="AJ145" s="148" t="e">
        <v>#REF!</v>
      </c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</row>
    <row r="146" ht="14.25" customHeight="1">
      <c r="A146" s="152" t="s">
        <v>13</v>
      </c>
      <c r="B146" s="135" t="s">
        <v>758</v>
      </c>
      <c r="C146" s="77">
        <v>46183.0</v>
      </c>
      <c r="D146" s="161"/>
      <c r="E146" s="136">
        <v>26.10816</v>
      </c>
      <c r="F146" s="60">
        <v>26.36604</v>
      </c>
      <c r="G146" s="62" t="s">
        <v>766</v>
      </c>
      <c r="H146" s="63" t="s">
        <v>34</v>
      </c>
      <c r="I146" s="155">
        <v>1.0</v>
      </c>
      <c r="J146" s="85">
        <v>14.5</v>
      </c>
      <c r="K146" s="80" t="s">
        <v>160</v>
      </c>
      <c r="L146" s="66" t="s">
        <v>767</v>
      </c>
      <c r="M146" s="156">
        <v>3.0</v>
      </c>
      <c r="N146" s="157">
        <v>9.181999999999999</v>
      </c>
      <c r="O146" s="87">
        <v>12.6636</v>
      </c>
      <c r="P146" s="151" t="s">
        <v>153</v>
      </c>
      <c r="Q146" s="143" t="s">
        <v>761</v>
      </c>
      <c r="R146" s="74"/>
      <c r="S146" s="158"/>
      <c r="T146" s="146">
        <f t="shared" si="10"/>
        <v>0</v>
      </c>
      <c r="U146" s="146"/>
      <c r="V146" s="147"/>
      <c r="W146" s="74" t="b">
        <v>0</v>
      </c>
      <c r="X146" s="74" t="b">
        <v>0</v>
      </c>
      <c r="Y146" s="74" t="b">
        <v>0</v>
      </c>
      <c r="Z146" s="148" t="str">
        <f>IFERROR(__xludf.DUMMYFUNCTION("""COMPUTED_VALUE"""),"#REF!")</f>
        <v>#REF!</v>
      </c>
      <c r="AA146" s="148" t="str">
        <f>IFERROR(__xludf.DUMMYFUNCTION("""COMPUTED_VALUE"""),"#REF!")</f>
        <v>#REF!</v>
      </c>
      <c r="AB146" s="148" t="str">
        <f>IFERROR(__xludf.DUMMYFUNCTION("""COMPUTED_VALUE"""),"#REF!")</f>
        <v>#REF!</v>
      </c>
      <c r="AC146" s="153">
        <v>46183.0</v>
      </c>
      <c r="AD146" s="148"/>
      <c r="AE146" s="47"/>
      <c r="AF146" s="148" t="s">
        <v>768</v>
      </c>
      <c r="AG146" s="148"/>
      <c r="AH146" s="148" t="s">
        <v>766</v>
      </c>
      <c r="AI146" s="148" t="e">
        <v>#REF!</v>
      </c>
      <c r="AJ146" s="148" t="e">
        <v>#REF!</v>
      </c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</row>
    <row r="147" ht="14.25" customHeight="1">
      <c r="A147" s="152"/>
      <c r="B147" s="135"/>
      <c r="C147" s="77"/>
      <c r="D147" s="136"/>
      <c r="E147" s="136"/>
      <c r="F147" s="60"/>
      <c r="G147" s="62"/>
      <c r="H147" s="63"/>
      <c r="I147" s="138"/>
      <c r="J147" s="79"/>
      <c r="K147" s="80"/>
      <c r="L147" s="66"/>
      <c r="M147" s="81"/>
      <c r="N147" s="167"/>
      <c r="O147" s="87"/>
      <c r="P147" s="151"/>
      <c r="Q147" s="143"/>
      <c r="R147" s="74"/>
      <c r="S147" s="158"/>
      <c r="T147" s="146">
        <f t="shared" si="10"/>
        <v>0</v>
      </c>
      <c r="U147" s="146">
        <f t="shared" ref="U147:U151" si="18">round((O147*89)+(550*N147),-1)</f>
        <v>0</v>
      </c>
      <c r="V147" s="147"/>
      <c r="W147" s="74" t="b">
        <v>0</v>
      </c>
      <c r="X147" s="74" t="b">
        <v>0</v>
      </c>
      <c r="Y147" s="74" t="b">
        <v>0</v>
      </c>
      <c r="Z147" s="148" t="str">
        <f>IFERROR(__xludf.DUMMYFUNCTION("""COMPUTED_VALUE"""),"")</f>
        <v/>
      </c>
      <c r="AA147" s="148" t="str">
        <f>IFERROR(__xludf.DUMMYFUNCTION("""COMPUTED_VALUE"""),"")</f>
        <v/>
      </c>
      <c r="AB147" s="148" t="str">
        <f>IFERROR(__xludf.DUMMYFUNCTION("""COMPUTED_VALUE"""),"")</f>
        <v/>
      </c>
      <c r="AC147" s="153"/>
      <c r="AD147" s="148"/>
      <c r="AE147" s="148"/>
      <c r="AF147" s="148" t="s">
        <v>613</v>
      </c>
      <c r="AG147" s="148"/>
      <c r="AH147" s="148"/>
      <c r="AI147" s="148" t="s">
        <v>614</v>
      </c>
      <c r="AJ147" s="148" t="s">
        <v>614</v>
      </c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</row>
    <row r="148" ht="14.25" customHeight="1">
      <c r="A148" s="152"/>
      <c r="B148" s="135"/>
      <c r="C148" s="77"/>
      <c r="D148" s="136"/>
      <c r="E148" s="136"/>
      <c r="F148" s="60"/>
      <c r="G148" s="62"/>
      <c r="H148" s="63"/>
      <c r="I148" s="138"/>
      <c r="J148" s="79"/>
      <c r="K148" s="80"/>
      <c r="L148" s="66"/>
      <c r="M148" s="81"/>
      <c r="N148" s="167"/>
      <c r="O148" s="87"/>
      <c r="P148" s="151"/>
      <c r="Q148" s="143"/>
      <c r="R148" s="74"/>
      <c r="S148" s="158"/>
      <c r="T148" s="146">
        <f t="shared" si="10"/>
        <v>0</v>
      </c>
      <c r="U148" s="146">
        <f t="shared" si="18"/>
        <v>0</v>
      </c>
      <c r="V148" s="147"/>
      <c r="W148" s="74" t="b">
        <v>0</v>
      </c>
      <c r="X148" s="74" t="b">
        <v>0</v>
      </c>
      <c r="Y148" s="74" t="b">
        <v>0</v>
      </c>
      <c r="Z148" s="148" t="str">
        <f>IFERROR(__xludf.DUMMYFUNCTION("""COMPUTED_VALUE"""),"")</f>
        <v/>
      </c>
      <c r="AA148" s="148" t="str">
        <f>IFERROR(__xludf.DUMMYFUNCTION("""COMPUTED_VALUE"""),"")</f>
        <v/>
      </c>
      <c r="AB148" s="148" t="str">
        <f>IFERROR(__xludf.DUMMYFUNCTION("""COMPUTED_VALUE"""),"")</f>
        <v/>
      </c>
      <c r="AC148" s="153"/>
      <c r="AD148" s="148"/>
      <c r="AE148" s="148"/>
      <c r="AF148" s="148" t="s">
        <v>613</v>
      </c>
      <c r="AG148" s="148"/>
      <c r="AH148" s="148"/>
      <c r="AI148" s="148" t="s">
        <v>614</v>
      </c>
      <c r="AJ148" s="148" t="s">
        <v>614</v>
      </c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</row>
    <row r="149" ht="14.25" customHeight="1">
      <c r="A149" s="152"/>
      <c r="B149" s="135"/>
      <c r="C149" s="171"/>
      <c r="D149" s="136"/>
      <c r="E149" s="136"/>
      <c r="F149" s="60"/>
      <c r="G149" s="62"/>
      <c r="H149" s="63"/>
      <c r="I149" s="138"/>
      <c r="J149" s="63"/>
      <c r="K149" s="65"/>
      <c r="L149" s="66"/>
      <c r="M149" s="81"/>
      <c r="N149" s="167"/>
      <c r="O149" s="69"/>
      <c r="P149" s="151"/>
      <c r="Q149" s="143"/>
      <c r="R149" s="74"/>
      <c r="S149" s="158"/>
      <c r="T149" s="146">
        <f t="shared" si="10"/>
        <v>0</v>
      </c>
      <c r="U149" s="146">
        <f t="shared" si="18"/>
        <v>0</v>
      </c>
      <c r="V149" s="147"/>
      <c r="W149" s="74" t="b">
        <v>0</v>
      </c>
      <c r="X149" s="74" t="b">
        <v>0</v>
      </c>
      <c r="Y149" s="74" t="b">
        <v>0</v>
      </c>
      <c r="Z149" s="148" t="str">
        <f>IFERROR(__xludf.DUMMYFUNCTION("""COMPUTED_VALUE"""),"")</f>
        <v/>
      </c>
      <c r="AA149" s="148" t="str">
        <f>IFERROR(__xludf.DUMMYFUNCTION("""COMPUTED_VALUE"""),"")</f>
        <v/>
      </c>
      <c r="AB149" s="148" t="str">
        <f>IFERROR(__xludf.DUMMYFUNCTION("""COMPUTED_VALUE"""),"")</f>
        <v/>
      </c>
      <c r="AC149" s="149"/>
      <c r="AD149" s="148"/>
      <c r="AE149" s="148"/>
      <c r="AF149" s="148" t="s">
        <v>613</v>
      </c>
      <c r="AG149" s="148"/>
      <c r="AH149" s="148"/>
      <c r="AI149" s="148" t="s">
        <v>614</v>
      </c>
      <c r="AJ149" s="148" t="s">
        <v>614</v>
      </c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</row>
    <row r="150" ht="14.25" customHeight="1">
      <c r="A150" s="152"/>
      <c r="B150" s="135"/>
      <c r="C150" s="171"/>
      <c r="D150" s="136"/>
      <c r="E150" s="136"/>
      <c r="F150" s="60"/>
      <c r="G150" s="62"/>
      <c r="H150" s="63"/>
      <c r="I150" s="138"/>
      <c r="J150" s="63"/>
      <c r="K150" s="65"/>
      <c r="L150" s="66"/>
      <c r="M150" s="81"/>
      <c r="N150" s="167"/>
      <c r="O150" s="69"/>
      <c r="P150" s="151"/>
      <c r="Q150" s="143"/>
      <c r="R150" s="74"/>
      <c r="S150" s="158"/>
      <c r="T150" s="146">
        <f t="shared" si="10"/>
        <v>0</v>
      </c>
      <c r="U150" s="146">
        <f t="shared" si="18"/>
        <v>0</v>
      </c>
      <c r="V150" s="147"/>
      <c r="W150" s="74" t="b">
        <v>0</v>
      </c>
      <c r="X150" s="74" t="b">
        <v>0</v>
      </c>
      <c r="Y150" s="74" t="b">
        <v>0</v>
      </c>
      <c r="Z150" s="148" t="str">
        <f>IFERROR(__xludf.DUMMYFUNCTION("""COMPUTED_VALUE"""),"")</f>
        <v/>
      </c>
      <c r="AA150" s="148" t="str">
        <f>IFERROR(__xludf.DUMMYFUNCTION("""COMPUTED_VALUE"""),"")</f>
        <v/>
      </c>
      <c r="AB150" s="148" t="str">
        <f>IFERROR(__xludf.DUMMYFUNCTION("""COMPUTED_VALUE"""),"")</f>
        <v/>
      </c>
      <c r="AC150" s="149"/>
      <c r="AD150" s="148"/>
      <c r="AE150" s="148"/>
      <c r="AF150" s="148" t="s">
        <v>613</v>
      </c>
      <c r="AG150" s="148"/>
      <c r="AH150" s="148"/>
      <c r="AI150" s="148" t="s">
        <v>614</v>
      </c>
      <c r="AJ150" s="148" t="s">
        <v>614</v>
      </c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</row>
    <row r="151" ht="14.25" customHeight="1">
      <c r="A151" s="152"/>
      <c r="B151" s="135"/>
      <c r="C151" s="171"/>
      <c r="D151" s="136"/>
      <c r="E151" s="136"/>
      <c r="F151" s="60"/>
      <c r="G151" s="62"/>
      <c r="H151" s="63"/>
      <c r="I151" s="138"/>
      <c r="J151" s="63"/>
      <c r="K151" s="65"/>
      <c r="L151" s="66"/>
      <c r="M151" s="81"/>
      <c r="N151" s="167"/>
      <c r="O151" s="69"/>
      <c r="P151" s="151"/>
      <c r="Q151" s="143"/>
      <c r="R151" s="74"/>
      <c r="S151" s="158"/>
      <c r="T151" s="146">
        <f t="shared" si="10"/>
        <v>0</v>
      </c>
      <c r="U151" s="146">
        <f t="shared" si="18"/>
        <v>0</v>
      </c>
      <c r="V151" s="147"/>
      <c r="W151" s="74" t="b">
        <v>0</v>
      </c>
      <c r="X151" s="74" t="b">
        <v>0</v>
      </c>
      <c r="Y151" s="74" t="b">
        <v>0</v>
      </c>
      <c r="Z151" s="148" t="str">
        <f>IFERROR(__xludf.DUMMYFUNCTION("""COMPUTED_VALUE"""),"")</f>
        <v/>
      </c>
      <c r="AA151" s="148" t="str">
        <f>IFERROR(__xludf.DUMMYFUNCTION("""COMPUTED_VALUE"""),"")</f>
        <v/>
      </c>
      <c r="AB151" s="148" t="str">
        <f>IFERROR(__xludf.DUMMYFUNCTION("""COMPUTED_VALUE"""),"")</f>
        <v/>
      </c>
      <c r="AC151" s="149"/>
      <c r="AD151" s="148"/>
      <c r="AE151" s="148"/>
      <c r="AF151" s="148" t="s">
        <v>613</v>
      </c>
      <c r="AG151" s="148"/>
      <c r="AH151" s="148"/>
      <c r="AI151" s="148" t="s">
        <v>614</v>
      </c>
      <c r="AJ151" s="148" t="s">
        <v>614</v>
      </c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</row>
    <row r="152" ht="14.25" customHeight="1">
      <c r="A152" s="152"/>
      <c r="B152" s="135"/>
      <c r="C152" s="77"/>
      <c r="D152" s="136"/>
      <c r="E152" s="136"/>
      <c r="F152" s="60"/>
      <c r="G152" s="62"/>
      <c r="H152" s="63"/>
      <c r="I152" s="138"/>
      <c r="J152" s="79"/>
      <c r="K152" s="80"/>
      <c r="L152" s="66"/>
      <c r="M152" s="81"/>
      <c r="N152" s="167"/>
      <c r="O152" s="87"/>
      <c r="P152" s="151"/>
      <c r="Q152" s="143"/>
      <c r="R152" s="74"/>
      <c r="S152" s="158"/>
      <c r="T152" s="146">
        <f t="shared" si="10"/>
        <v>0</v>
      </c>
      <c r="U152" s="146">
        <f>round((O152*89)+(10*N152),-1)</f>
        <v>0</v>
      </c>
      <c r="V152" s="147"/>
      <c r="W152" s="74" t="b">
        <v>0</v>
      </c>
      <c r="X152" s="74" t="b">
        <v>0</v>
      </c>
      <c r="Y152" s="74" t="b">
        <v>0</v>
      </c>
      <c r="Z152" s="148" t="str">
        <f>IFERROR(__xludf.DUMMYFUNCTION("""COMPUTED_VALUE"""),"")</f>
        <v/>
      </c>
      <c r="AA152" s="148" t="str">
        <f>IFERROR(__xludf.DUMMYFUNCTION("""COMPUTED_VALUE"""),"")</f>
        <v/>
      </c>
      <c r="AB152" s="148" t="str">
        <f>IFERROR(__xludf.DUMMYFUNCTION("""COMPUTED_VALUE"""),"")</f>
        <v/>
      </c>
      <c r="AC152" s="153"/>
      <c r="AD152" s="148"/>
      <c r="AE152" s="148"/>
      <c r="AF152" s="148" t="s">
        <v>613</v>
      </c>
      <c r="AG152" s="148"/>
      <c r="AH152" s="148"/>
      <c r="AI152" s="148" t="s">
        <v>614</v>
      </c>
      <c r="AJ152" s="148" t="s">
        <v>614</v>
      </c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</row>
    <row r="153" ht="14.25" customHeight="1">
      <c r="A153" s="152"/>
      <c r="B153" s="135"/>
      <c r="C153" s="77"/>
      <c r="D153" s="136"/>
      <c r="E153" s="136"/>
      <c r="F153" s="60"/>
      <c r="G153" s="62"/>
      <c r="H153" s="63"/>
      <c r="I153" s="138"/>
      <c r="J153" s="79"/>
      <c r="K153" s="80"/>
      <c r="L153" s="66"/>
      <c r="M153" s="81"/>
      <c r="N153" s="167"/>
      <c r="O153" s="87"/>
      <c r="P153" s="151"/>
      <c r="Q153" s="143"/>
      <c r="R153" s="74"/>
      <c r="S153" s="158"/>
      <c r="T153" s="146">
        <f t="shared" si="10"/>
        <v>0</v>
      </c>
      <c r="U153" s="146">
        <f t="shared" ref="U153:U161" si="19">round((O153*89)+(550*N153),-1)</f>
        <v>0</v>
      </c>
      <c r="V153" s="147"/>
      <c r="W153" s="74" t="b">
        <v>0</v>
      </c>
      <c r="X153" s="74" t="b">
        <v>0</v>
      </c>
      <c r="Y153" s="74" t="b">
        <v>0</v>
      </c>
      <c r="Z153" s="148" t="str">
        <f>IFERROR(__xludf.DUMMYFUNCTION("""COMPUTED_VALUE"""),"")</f>
        <v/>
      </c>
      <c r="AA153" s="148" t="str">
        <f>IFERROR(__xludf.DUMMYFUNCTION("""COMPUTED_VALUE"""),"")</f>
        <v/>
      </c>
      <c r="AB153" s="148" t="str">
        <f>IFERROR(__xludf.DUMMYFUNCTION("""COMPUTED_VALUE"""),"")</f>
        <v/>
      </c>
      <c r="AC153" s="153"/>
      <c r="AD153" s="148"/>
      <c r="AE153" s="148"/>
      <c r="AF153" s="148" t="s">
        <v>613</v>
      </c>
      <c r="AG153" s="148"/>
      <c r="AH153" s="148"/>
      <c r="AI153" s="148" t="s">
        <v>614</v>
      </c>
      <c r="AJ153" s="148" t="s">
        <v>614</v>
      </c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</row>
    <row r="154" ht="14.25" customHeight="1">
      <c r="A154" s="152"/>
      <c r="B154" s="135"/>
      <c r="C154" s="77"/>
      <c r="D154" s="136"/>
      <c r="E154" s="136"/>
      <c r="F154" s="60"/>
      <c r="G154" s="62"/>
      <c r="H154" s="63"/>
      <c r="I154" s="138"/>
      <c r="J154" s="79"/>
      <c r="K154" s="80"/>
      <c r="L154" s="66"/>
      <c r="M154" s="81"/>
      <c r="N154" s="167"/>
      <c r="O154" s="87"/>
      <c r="P154" s="151"/>
      <c r="Q154" s="143"/>
      <c r="R154" s="74"/>
      <c r="S154" s="158"/>
      <c r="T154" s="146">
        <f t="shared" si="10"/>
        <v>0</v>
      </c>
      <c r="U154" s="146">
        <f t="shared" si="19"/>
        <v>0</v>
      </c>
      <c r="V154" s="147"/>
      <c r="W154" s="74" t="b">
        <v>0</v>
      </c>
      <c r="X154" s="74" t="b">
        <v>0</v>
      </c>
      <c r="Y154" s="74" t="b">
        <v>0</v>
      </c>
      <c r="Z154" s="148" t="str">
        <f>IFERROR(__xludf.DUMMYFUNCTION("""COMPUTED_VALUE"""),"")</f>
        <v/>
      </c>
      <c r="AA154" s="148" t="str">
        <f>IFERROR(__xludf.DUMMYFUNCTION("""COMPUTED_VALUE"""),"")</f>
        <v/>
      </c>
      <c r="AB154" s="148" t="str">
        <f>IFERROR(__xludf.DUMMYFUNCTION("""COMPUTED_VALUE"""),"")</f>
        <v/>
      </c>
      <c r="AC154" s="153"/>
      <c r="AD154" s="148"/>
      <c r="AE154" s="148"/>
      <c r="AF154" s="148" t="s">
        <v>613</v>
      </c>
      <c r="AG154" s="148"/>
      <c r="AH154" s="148"/>
      <c r="AI154" s="148" t="s">
        <v>614</v>
      </c>
      <c r="AJ154" s="148" t="s">
        <v>614</v>
      </c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</row>
    <row r="155" ht="14.25" customHeight="1">
      <c r="A155" s="152"/>
      <c r="B155" s="135"/>
      <c r="C155" s="77"/>
      <c r="D155" s="136"/>
      <c r="E155" s="136"/>
      <c r="F155" s="60"/>
      <c r="G155" s="62"/>
      <c r="H155" s="63"/>
      <c r="I155" s="138"/>
      <c r="J155" s="79"/>
      <c r="K155" s="80"/>
      <c r="L155" s="66"/>
      <c r="M155" s="81"/>
      <c r="N155" s="167"/>
      <c r="O155" s="87"/>
      <c r="P155" s="151"/>
      <c r="Q155" s="143"/>
      <c r="R155" s="74"/>
      <c r="S155" s="158"/>
      <c r="T155" s="146">
        <f t="shared" si="10"/>
        <v>0</v>
      </c>
      <c r="U155" s="146">
        <f t="shared" si="19"/>
        <v>0</v>
      </c>
      <c r="V155" s="147"/>
      <c r="W155" s="74" t="b">
        <v>0</v>
      </c>
      <c r="X155" s="74" t="b">
        <v>0</v>
      </c>
      <c r="Y155" s="74" t="b">
        <v>0</v>
      </c>
      <c r="Z155" s="148" t="str">
        <f>IFERROR(__xludf.DUMMYFUNCTION("""COMPUTED_VALUE"""),"")</f>
        <v/>
      </c>
      <c r="AA155" s="148" t="str">
        <f>IFERROR(__xludf.DUMMYFUNCTION("""COMPUTED_VALUE"""),"")</f>
        <v/>
      </c>
      <c r="AB155" s="148" t="str">
        <f>IFERROR(__xludf.DUMMYFUNCTION("""COMPUTED_VALUE"""),"")</f>
        <v/>
      </c>
      <c r="AC155" s="153"/>
      <c r="AD155" s="148"/>
      <c r="AE155" s="148"/>
      <c r="AF155" s="148" t="s">
        <v>613</v>
      </c>
      <c r="AG155" s="148"/>
      <c r="AH155" s="148"/>
      <c r="AI155" s="148" t="s">
        <v>614</v>
      </c>
      <c r="AJ155" s="148" t="s">
        <v>614</v>
      </c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</row>
    <row r="156" ht="14.25" customHeight="1">
      <c r="A156" s="152"/>
      <c r="B156" s="135"/>
      <c r="C156" s="77"/>
      <c r="D156" s="136"/>
      <c r="E156" s="136"/>
      <c r="F156" s="60"/>
      <c r="G156" s="62"/>
      <c r="H156" s="63"/>
      <c r="I156" s="138"/>
      <c r="J156" s="79"/>
      <c r="K156" s="80"/>
      <c r="L156" s="66"/>
      <c r="M156" s="81"/>
      <c r="N156" s="167"/>
      <c r="O156" s="87"/>
      <c r="P156" s="151"/>
      <c r="Q156" s="143"/>
      <c r="R156" s="74"/>
      <c r="S156" s="158"/>
      <c r="T156" s="146">
        <f t="shared" si="10"/>
        <v>0</v>
      </c>
      <c r="U156" s="146">
        <f t="shared" si="19"/>
        <v>0</v>
      </c>
      <c r="V156" s="147"/>
      <c r="W156" s="74" t="b">
        <v>0</v>
      </c>
      <c r="X156" s="74" t="b">
        <v>0</v>
      </c>
      <c r="Y156" s="74" t="b">
        <v>0</v>
      </c>
      <c r="Z156" s="148" t="str">
        <f>IFERROR(__xludf.DUMMYFUNCTION("""COMPUTED_VALUE"""),"")</f>
        <v/>
      </c>
      <c r="AA156" s="148" t="str">
        <f>IFERROR(__xludf.DUMMYFUNCTION("""COMPUTED_VALUE"""),"")</f>
        <v/>
      </c>
      <c r="AB156" s="148" t="str">
        <f>IFERROR(__xludf.DUMMYFUNCTION("""COMPUTED_VALUE"""),"")</f>
        <v/>
      </c>
      <c r="AC156" s="153"/>
      <c r="AD156" s="148"/>
      <c r="AE156" s="148"/>
      <c r="AF156" s="148" t="s">
        <v>613</v>
      </c>
      <c r="AG156" s="148"/>
      <c r="AH156" s="148"/>
      <c r="AI156" s="148" t="s">
        <v>614</v>
      </c>
      <c r="AJ156" s="148" t="s">
        <v>614</v>
      </c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</row>
    <row r="157" ht="14.25" customHeight="1">
      <c r="A157" s="152"/>
      <c r="B157" s="135"/>
      <c r="C157" s="77"/>
      <c r="D157" s="136"/>
      <c r="E157" s="136"/>
      <c r="F157" s="60"/>
      <c r="G157" s="62"/>
      <c r="H157" s="63"/>
      <c r="I157" s="138"/>
      <c r="J157" s="79"/>
      <c r="K157" s="80"/>
      <c r="L157" s="66"/>
      <c r="M157" s="81"/>
      <c r="N157" s="167"/>
      <c r="O157" s="87"/>
      <c r="P157" s="151"/>
      <c r="Q157" s="143"/>
      <c r="R157" s="74"/>
      <c r="S157" s="158"/>
      <c r="T157" s="146">
        <f t="shared" si="10"/>
        <v>0</v>
      </c>
      <c r="U157" s="146">
        <f t="shared" si="19"/>
        <v>0</v>
      </c>
      <c r="V157" s="147"/>
      <c r="W157" s="74" t="b">
        <v>0</v>
      </c>
      <c r="X157" s="74" t="b">
        <v>0</v>
      </c>
      <c r="Y157" s="74" t="b">
        <v>0</v>
      </c>
      <c r="Z157" s="148" t="str">
        <f>IFERROR(__xludf.DUMMYFUNCTION("""COMPUTED_VALUE"""),"")</f>
        <v/>
      </c>
      <c r="AA157" s="148" t="str">
        <f>IFERROR(__xludf.DUMMYFUNCTION("""COMPUTED_VALUE"""),"")</f>
        <v/>
      </c>
      <c r="AB157" s="148" t="str">
        <f>IFERROR(__xludf.DUMMYFUNCTION("""COMPUTED_VALUE"""),"")</f>
        <v/>
      </c>
      <c r="AC157" s="153"/>
      <c r="AD157" s="148"/>
      <c r="AE157" s="148"/>
      <c r="AF157" s="148" t="s">
        <v>613</v>
      </c>
      <c r="AG157" s="148"/>
      <c r="AH157" s="148"/>
      <c r="AI157" s="148" t="s">
        <v>614</v>
      </c>
      <c r="AJ157" s="148" t="s">
        <v>614</v>
      </c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</row>
    <row r="158" ht="14.25" customHeight="1">
      <c r="A158" s="152"/>
      <c r="B158" s="135"/>
      <c r="C158" s="77"/>
      <c r="D158" s="136"/>
      <c r="E158" s="136"/>
      <c r="F158" s="60"/>
      <c r="G158" s="62"/>
      <c r="H158" s="63"/>
      <c r="I158" s="138"/>
      <c r="J158" s="79"/>
      <c r="K158" s="80"/>
      <c r="L158" s="66"/>
      <c r="M158" s="81"/>
      <c r="N158" s="167"/>
      <c r="O158" s="87"/>
      <c r="P158" s="151"/>
      <c r="Q158" s="143"/>
      <c r="R158" s="74"/>
      <c r="S158" s="158"/>
      <c r="T158" s="146">
        <f t="shared" si="10"/>
        <v>0</v>
      </c>
      <c r="U158" s="146">
        <f t="shared" si="19"/>
        <v>0</v>
      </c>
      <c r="V158" s="147"/>
      <c r="W158" s="74" t="b">
        <v>0</v>
      </c>
      <c r="X158" s="74" t="b">
        <v>0</v>
      </c>
      <c r="Y158" s="74" t="b">
        <v>0</v>
      </c>
      <c r="Z158" s="148" t="str">
        <f>IFERROR(__xludf.DUMMYFUNCTION("""COMPUTED_VALUE"""),"")</f>
        <v/>
      </c>
      <c r="AA158" s="148" t="str">
        <f>IFERROR(__xludf.DUMMYFUNCTION("""COMPUTED_VALUE"""),"")</f>
        <v/>
      </c>
      <c r="AB158" s="148" t="str">
        <f>IFERROR(__xludf.DUMMYFUNCTION("""COMPUTED_VALUE"""),"")</f>
        <v/>
      </c>
      <c r="AC158" s="153"/>
      <c r="AD158" s="148"/>
      <c r="AE158" s="148"/>
      <c r="AF158" s="148" t="s">
        <v>613</v>
      </c>
      <c r="AG158" s="148"/>
      <c r="AH158" s="148"/>
      <c r="AI158" s="148" t="s">
        <v>614</v>
      </c>
      <c r="AJ158" s="148" t="s">
        <v>614</v>
      </c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</row>
    <row r="159" ht="14.25" customHeight="1">
      <c r="A159" s="152"/>
      <c r="B159" s="135"/>
      <c r="C159" s="77"/>
      <c r="D159" s="136"/>
      <c r="E159" s="136"/>
      <c r="F159" s="60"/>
      <c r="G159" s="62"/>
      <c r="H159" s="63"/>
      <c r="I159" s="138"/>
      <c r="J159" s="79"/>
      <c r="K159" s="80"/>
      <c r="L159" s="66"/>
      <c r="M159" s="81"/>
      <c r="N159" s="167"/>
      <c r="O159" s="87"/>
      <c r="P159" s="151"/>
      <c r="Q159" s="143"/>
      <c r="R159" s="74"/>
      <c r="S159" s="158"/>
      <c r="T159" s="146">
        <f t="shared" si="10"/>
        <v>0</v>
      </c>
      <c r="U159" s="146">
        <f t="shared" si="19"/>
        <v>0</v>
      </c>
      <c r="V159" s="147"/>
      <c r="W159" s="74" t="b">
        <v>0</v>
      </c>
      <c r="X159" s="74" t="b">
        <v>0</v>
      </c>
      <c r="Y159" s="74" t="b">
        <v>0</v>
      </c>
      <c r="Z159" s="148" t="str">
        <f>IFERROR(__xludf.DUMMYFUNCTION("""COMPUTED_VALUE"""),"")</f>
        <v/>
      </c>
      <c r="AA159" s="148" t="str">
        <f>IFERROR(__xludf.DUMMYFUNCTION("""COMPUTED_VALUE"""),"")</f>
        <v/>
      </c>
      <c r="AB159" s="148" t="str">
        <f>IFERROR(__xludf.DUMMYFUNCTION("""COMPUTED_VALUE"""),"")</f>
        <v/>
      </c>
      <c r="AC159" s="153"/>
      <c r="AD159" s="148"/>
      <c r="AE159" s="148"/>
      <c r="AF159" s="148" t="s">
        <v>613</v>
      </c>
      <c r="AG159" s="148"/>
      <c r="AH159" s="148"/>
      <c r="AI159" s="148" t="s">
        <v>614</v>
      </c>
      <c r="AJ159" s="148" t="s">
        <v>614</v>
      </c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</row>
    <row r="160" ht="14.25" customHeight="1">
      <c r="A160" s="152"/>
      <c r="B160" s="135"/>
      <c r="C160" s="77"/>
      <c r="D160" s="136"/>
      <c r="E160" s="136"/>
      <c r="F160" s="60"/>
      <c r="G160" s="62"/>
      <c r="H160" s="63"/>
      <c r="I160" s="138"/>
      <c r="J160" s="79"/>
      <c r="K160" s="80"/>
      <c r="L160" s="66"/>
      <c r="M160" s="81"/>
      <c r="N160" s="167"/>
      <c r="O160" s="87"/>
      <c r="P160" s="151"/>
      <c r="Q160" s="143"/>
      <c r="R160" s="74"/>
      <c r="S160" s="158"/>
      <c r="T160" s="146">
        <f t="shared" si="10"/>
        <v>0</v>
      </c>
      <c r="U160" s="146">
        <f t="shared" si="19"/>
        <v>0</v>
      </c>
      <c r="V160" s="147"/>
      <c r="W160" s="74" t="b">
        <v>0</v>
      </c>
      <c r="X160" s="74" t="b">
        <v>0</v>
      </c>
      <c r="Y160" s="74" t="b">
        <v>0</v>
      </c>
      <c r="Z160" s="148" t="str">
        <f>IFERROR(__xludf.DUMMYFUNCTION("""COMPUTED_VALUE"""),"")</f>
        <v/>
      </c>
      <c r="AA160" s="148" t="str">
        <f>IFERROR(__xludf.DUMMYFUNCTION("""COMPUTED_VALUE"""),"")</f>
        <v/>
      </c>
      <c r="AB160" s="148" t="str">
        <f>IFERROR(__xludf.DUMMYFUNCTION("""COMPUTED_VALUE"""),"")</f>
        <v/>
      </c>
      <c r="AC160" s="153"/>
      <c r="AD160" s="148"/>
      <c r="AE160" s="148"/>
      <c r="AF160" s="148" t="s">
        <v>613</v>
      </c>
      <c r="AG160" s="148"/>
      <c r="AH160" s="148"/>
      <c r="AI160" s="148" t="s">
        <v>614</v>
      </c>
      <c r="AJ160" s="148" t="s">
        <v>614</v>
      </c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</row>
    <row r="161" ht="14.25" customHeight="1">
      <c r="A161" s="152"/>
      <c r="B161" s="135"/>
      <c r="C161" s="77"/>
      <c r="D161" s="136"/>
      <c r="E161" s="136"/>
      <c r="F161" s="60"/>
      <c r="G161" s="62"/>
      <c r="H161" s="63"/>
      <c r="I161" s="138"/>
      <c r="J161" s="79"/>
      <c r="K161" s="80"/>
      <c r="L161" s="66"/>
      <c r="M161" s="81"/>
      <c r="N161" s="167"/>
      <c r="O161" s="87"/>
      <c r="P161" s="151"/>
      <c r="Q161" s="143"/>
      <c r="R161" s="74"/>
      <c r="S161" s="158"/>
      <c r="T161" s="146">
        <f t="shared" si="10"/>
        <v>0</v>
      </c>
      <c r="U161" s="146">
        <f t="shared" si="19"/>
        <v>0</v>
      </c>
      <c r="V161" s="147"/>
      <c r="W161" s="74" t="b">
        <v>0</v>
      </c>
      <c r="X161" s="74" t="b">
        <v>0</v>
      </c>
      <c r="Y161" s="74" t="b">
        <v>0</v>
      </c>
      <c r="Z161" s="148" t="str">
        <f>IFERROR(__xludf.DUMMYFUNCTION("""COMPUTED_VALUE"""),"")</f>
        <v/>
      </c>
      <c r="AA161" s="148" t="str">
        <f>IFERROR(__xludf.DUMMYFUNCTION("""COMPUTED_VALUE"""),"")</f>
        <v/>
      </c>
      <c r="AB161" s="148" t="str">
        <f>IFERROR(__xludf.DUMMYFUNCTION("""COMPUTED_VALUE"""),"")</f>
        <v/>
      </c>
      <c r="AC161" s="153"/>
      <c r="AD161" s="148"/>
      <c r="AE161" s="148"/>
      <c r="AF161" s="148" t="s">
        <v>613</v>
      </c>
      <c r="AG161" s="148"/>
      <c r="AH161" s="148"/>
      <c r="AI161" s="148" t="s">
        <v>614</v>
      </c>
      <c r="AJ161" s="148" t="s">
        <v>614</v>
      </c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</row>
    <row r="162" ht="14.25" customHeight="1">
      <c r="A162" s="152"/>
      <c r="B162" s="135"/>
      <c r="C162" s="77"/>
      <c r="D162" s="136"/>
      <c r="E162" s="136"/>
      <c r="F162" s="60"/>
      <c r="G162" s="62"/>
      <c r="H162" s="63"/>
      <c r="I162" s="138"/>
      <c r="J162" s="79"/>
      <c r="K162" s="80"/>
      <c r="L162" s="66"/>
      <c r="M162" s="81"/>
      <c r="N162" s="167"/>
      <c r="O162" s="87"/>
      <c r="P162" s="151"/>
      <c r="Q162" s="143"/>
      <c r="R162" s="74"/>
      <c r="S162" s="158"/>
      <c r="T162" s="146">
        <f t="shared" si="10"/>
        <v>0</v>
      </c>
      <c r="U162" s="146">
        <f>round((O162*89)+(0.233*N162)+(0.621*0.5),-1)</f>
        <v>0</v>
      </c>
      <c r="V162" s="147"/>
      <c r="W162" s="74" t="b">
        <v>0</v>
      </c>
      <c r="X162" s="74" t="b">
        <v>0</v>
      </c>
      <c r="Y162" s="74" t="b">
        <v>0</v>
      </c>
      <c r="Z162" s="148" t="str">
        <f>IFERROR(__xludf.DUMMYFUNCTION("""COMPUTED_VALUE"""),"")</f>
        <v/>
      </c>
      <c r="AA162" s="148" t="str">
        <f>IFERROR(__xludf.DUMMYFUNCTION("""COMPUTED_VALUE"""),"")</f>
        <v/>
      </c>
      <c r="AB162" s="148" t="str">
        <f>IFERROR(__xludf.DUMMYFUNCTION("""COMPUTED_VALUE"""),"")</f>
        <v/>
      </c>
      <c r="AC162" s="153"/>
      <c r="AD162" s="148"/>
      <c r="AE162" s="148"/>
      <c r="AF162" s="148" t="s">
        <v>613</v>
      </c>
      <c r="AG162" s="148"/>
      <c r="AH162" s="148"/>
      <c r="AI162" s="148" t="s">
        <v>614</v>
      </c>
      <c r="AJ162" s="148" t="s">
        <v>614</v>
      </c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</row>
    <row r="163" ht="14.25" customHeight="1">
      <c r="A163" s="152"/>
      <c r="B163" s="135"/>
      <c r="C163" s="77"/>
      <c r="D163" s="136"/>
      <c r="E163" s="136"/>
      <c r="F163" s="60"/>
      <c r="G163" s="62"/>
      <c r="H163" s="154"/>
      <c r="I163" s="138"/>
      <c r="J163" s="79"/>
      <c r="K163" s="80"/>
      <c r="L163" s="66"/>
      <c r="M163" s="81"/>
      <c r="N163" s="167"/>
      <c r="O163" s="87"/>
      <c r="P163" s="151"/>
      <c r="Q163" s="143"/>
      <c r="R163" s="74"/>
      <c r="S163" s="158"/>
      <c r="T163" s="146">
        <f t="shared" si="10"/>
        <v>0</v>
      </c>
      <c r="U163" s="146">
        <f t="shared" ref="U163:U167" si="20">round((O163*119)+(550*N163),-1)</f>
        <v>0</v>
      </c>
      <c r="V163" s="147"/>
      <c r="W163" s="74" t="b">
        <v>0</v>
      </c>
      <c r="X163" s="74" t="b">
        <v>0</v>
      </c>
      <c r="Y163" s="74" t="b">
        <v>0</v>
      </c>
      <c r="Z163" s="148" t="str">
        <f>IFERROR(__xludf.DUMMYFUNCTION("""COMPUTED_VALUE"""),"")</f>
        <v/>
      </c>
      <c r="AA163" s="148" t="str">
        <f>IFERROR(__xludf.DUMMYFUNCTION("""COMPUTED_VALUE"""),"")</f>
        <v/>
      </c>
      <c r="AB163" s="148" t="str">
        <f>IFERROR(__xludf.DUMMYFUNCTION("""COMPUTED_VALUE"""),"")</f>
        <v/>
      </c>
      <c r="AC163" s="153"/>
      <c r="AD163" s="148"/>
      <c r="AE163" s="148"/>
      <c r="AF163" s="148" t="s">
        <v>613</v>
      </c>
      <c r="AG163" s="148"/>
      <c r="AH163" s="148"/>
      <c r="AI163" s="148" t="s">
        <v>614</v>
      </c>
      <c r="AJ163" s="148" t="s">
        <v>614</v>
      </c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</row>
    <row r="164" ht="14.25" customHeight="1">
      <c r="A164" s="152"/>
      <c r="B164" s="135"/>
      <c r="C164" s="77"/>
      <c r="D164" s="136"/>
      <c r="E164" s="136"/>
      <c r="F164" s="60"/>
      <c r="G164" s="62"/>
      <c r="H164" s="154"/>
      <c r="I164" s="138"/>
      <c r="J164" s="79"/>
      <c r="K164" s="80"/>
      <c r="L164" s="66"/>
      <c r="M164" s="81"/>
      <c r="N164" s="167"/>
      <c r="O164" s="87"/>
      <c r="P164" s="151"/>
      <c r="Q164" s="143"/>
      <c r="R164" s="74"/>
      <c r="S164" s="158"/>
      <c r="T164" s="146">
        <f t="shared" si="10"/>
        <v>0</v>
      </c>
      <c r="U164" s="146">
        <f t="shared" si="20"/>
        <v>0</v>
      </c>
      <c r="V164" s="147"/>
      <c r="W164" s="74" t="b">
        <v>0</v>
      </c>
      <c r="X164" s="74" t="b">
        <v>0</v>
      </c>
      <c r="Y164" s="74" t="b">
        <v>0</v>
      </c>
      <c r="Z164" s="148" t="str">
        <f>IFERROR(__xludf.DUMMYFUNCTION("""COMPUTED_VALUE"""),"")</f>
        <v/>
      </c>
      <c r="AA164" s="148" t="str">
        <f>IFERROR(__xludf.DUMMYFUNCTION("""COMPUTED_VALUE"""),"")</f>
        <v/>
      </c>
      <c r="AB164" s="148" t="str">
        <f>IFERROR(__xludf.DUMMYFUNCTION("""COMPUTED_VALUE"""),"")</f>
        <v/>
      </c>
      <c r="AC164" s="153"/>
      <c r="AD164" s="148"/>
      <c r="AE164" s="148"/>
      <c r="AF164" s="148" t="s">
        <v>613</v>
      </c>
      <c r="AG164" s="148"/>
      <c r="AH164" s="148"/>
      <c r="AI164" s="148" t="s">
        <v>614</v>
      </c>
      <c r="AJ164" s="148" t="s">
        <v>614</v>
      </c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</row>
    <row r="165" ht="14.25" customHeight="1">
      <c r="A165" s="152"/>
      <c r="B165" s="135"/>
      <c r="C165" s="77"/>
      <c r="D165" s="136"/>
      <c r="E165" s="136"/>
      <c r="F165" s="60"/>
      <c r="G165" s="62"/>
      <c r="H165" s="154"/>
      <c r="I165" s="138"/>
      <c r="J165" s="79"/>
      <c r="K165" s="80"/>
      <c r="L165" s="66"/>
      <c r="M165" s="81"/>
      <c r="N165" s="167"/>
      <c r="O165" s="87"/>
      <c r="P165" s="151"/>
      <c r="Q165" s="143"/>
      <c r="R165" s="74"/>
      <c r="S165" s="158"/>
      <c r="T165" s="146">
        <f t="shared" si="10"/>
        <v>0</v>
      </c>
      <c r="U165" s="146">
        <f t="shared" si="20"/>
        <v>0</v>
      </c>
      <c r="V165" s="147"/>
      <c r="W165" s="74" t="b">
        <v>0</v>
      </c>
      <c r="X165" s="74" t="b">
        <v>0</v>
      </c>
      <c r="Y165" s="74" t="b">
        <v>0</v>
      </c>
      <c r="Z165" s="148" t="str">
        <f>IFERROR(__xludf.DUMMYFUNCTION("""COMPUTED_VALUE"""),"")</f>
        <v/>
      </c>
      <c r="AA165" s="148" t="str">
        <f>IFERROR(__xludf.DUMMYFUNCTION("""COMPUTED_VALUE"""),"")</f>
        <v/>
      </c>
      <c r="AB165" s="148" t="str">
        <f>IFERROR(__xludf.DUMMYFUNCTION("""COMPUTED_VALUE"""),"")</f>
        <v/>
      </c>
      <c r="AC165" s="153"/>
      <c r="AD165" s="148"/>
      <c r="AE165" s="148"/>
      <c r="AF165" s="148" t="s">
        <v>613</v>
      </c>
      <c r="AG165" s="148"/>
      <c r="AH165" s="148"/>
      <c r="AI165" s="148" t="s">
        <v>614</v>
      </c>
      <c r="AJ165" s="148" t="s">
        <v>614</v>
      </c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</row>
    <row r="166" ht="14.25" customHeight="1">
      <c r="A166" s="152"/>
      <c r="B166" s="135"/>
      <c r="C166" s="77"/>
      <c r="D166" s="136"/>
      <c r="E166" s="136"/>
      <c r="F166" s="60"/>
      <c r="G166" s="62"/>
      <c r="H166" s="154"/>
      <c r="I166" s="138"/>
      <c r="J166" s="79"/>
      <c r="K166" s="80"/>
      <c r="L166" s="66"/>
      <c r="M166" s="81"/>
      <c r="N166" s="167"/>
      <c r="O166" s="87"/>
      <c r="P166" s="151"/>
      <c r="Q166" s="143"/>
      <c r="R166" s="74"/>
      <c r="S166" s="158"/>
      <c r="T166" s="146">
        <f t="shared" si="10"/>
        <v>0</v>
      </c>
      <c r="U166" s="146">
        <f t="shared" si="20"/>
        <v>0</v>
      </c>
      <c r="V166" s="147"/>
      <c r="W166" s="74" t="b">
        <v>0</v>
      </c>
      <c r="X166" s="74" t="b">
        <v>0</v>
      </c>
      <c r="Y166" s="74" t="b">
        <v>0</v>
      </c>
      <c r="Z166" s="148" t="str">
        <f>IFERROR(__xludf.DUMMYFUNCTION("""COMPUTED_VALUE"""),"")</f>
        <v/>
      </c>
      <c r="AA166" s="148" t="str">
        <f>IFERROR(__xludf.DUMMYFUNCTION("""COMPUTED_VALUE"""),"")</f>
        <v/>
      </c>
      <c r="AB166" s="148" t="str">
        <f>IFERROR(__xludf.DUMMYFUNCTION("""COMPUTED_VALUE"""),"")</f>
        <v/>
      </c>
      <c r="AC166" s="153"/>
      <c r="AD166" s="148"/>
      <c r="AE166" s="148"/>
      <c r="AF166" s="148" t="s">
        <v>613</v>
      </c>
      <c r="AG166" s="148"/>
      <c r="AH166" s="148"/>
      <c r="AI166" s="148" t="s">
        <v>614</v>
      </c>
      <c r="AJ166" s="148" t="s">
        <v>614</v>
      </c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</row>
    <row r="167" ht="14.25" customHeight="1">
      <c r="A167" s="152"/>
      <c r="B167" s="135"/>
      <c r="C167" s="77"/>
      <c r="D167" s="136"/>
      <c r="E167" s="136"/>
      <c r="F167" s="60"/>
      <c r="G167" s="62"/>
      <c r="H167" s="154"/>
      <c r="I167" s="138"/>
      <c r="J167" s="79"/>
      <c r="K167" s="80"/>
      <c r="L167" s="66"/>
      <c r="M167" s="81"/>
      <c r="N167" s="167"/>
      <c r="O167" s="87"/>
      <c r="P167" s="151"/>
      <c r="Q167" s="143"/>
      <c r="R167" s="74"/>
      <c r="S167" s="158"/>
      <c r="T167" s="146">
        <f t="shared" si="10"/>
        <v>0</v>
      </c>
      <c r="U167" s="146">
        <f t="shared" si="20"/>
        <v>0</v>
      </c>
      <c r="V167" s="147"/>
      <c r="W167" s="74" t="b">
        <v>0</v>
      </c>
      <c r="X167" s="74" t="b">
        <v>0</v>
      </c>
      <c r="Y167" s="74" t="b">
        <v>0</v>
      </c>
      <c r="Z167" s="148" t="str">
        <f>IFERROR(__xludf.DUMMYFUNCTION("""COMPUTED_VALUE"""),"")</f>
        <v/>
      </c>
      <c r="AA167" s="148" t="str">
        <f>IFERROR(__xludf.DUMMYFUNCTION("""COMPUTED_VALUE"""),"")</f>
        <v/>
      </c>
      <c r="AB167" s="148" t="str">
        <f>IFERROR(__xludf.DUMMYFUNCTION("""COMPUTED_VALUE"""),"")</f>
        <v/>
      </c>
      <c r="AC167" s="153"/>
      <c r="AD167" s="148"/>
      <c r="AE167" s="148"/>
      <c r="AF167" s="148" t="s">
        <v>613</v>
      </c>
      <c r="AG167" s="148"/>
      <c r="AH167" s="148"/>
      <c r="AI167" s="148" t="s">
        <v>614</v>
      </c>
      <c r="AJ167" s="148" t="s">
        <v>614</v>
      </c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</row>
    <row r="168" ht="14.25" customHeight="1">
      <c r="A168" s="152"/>
      <c r="B168" s="135"/>
      <c r="C168" s="77"/>
      <c r="D168" s="136"/>
      <c r="E168" s="136"/>
      <c r="F168" s="60"/>
      <c r="G168" s="62"/>
      <c r="H168" s="63"/>
      <c r="I168" s="138"/>
      <c r="J168" s="79"/>
      <c r="K168" s="80"/>
      <c r="L168" s="66"/>
      <c r="M168" s="81"/>
      <c r="N168" s="167"/>
      <c r="O168" s="87"/>
      <c r="P168" s="151"/>
      <c r="Q168" s="143"/>
      <c r="R168" s="74"/>
      <c r="S168" s="158"/>
      <c r="T168" s="146">
        <f t="shared" si="10"/>
        <v>0</v>
      </c>
      <c r="U168" s="146">
        <f t="shared" ref="U168:U183" si="21">round((O168*89)+(550*N168),-1)</f>
        <v>0</v>
      </c>
      <c r="V168" s="147"/>
      <c r="W168" s="74" t="b">
        <v>0</v>
      </c>
      <c r="X168" s="74" t="b">
        <v>0</v>
      </c>
      <c r="Y168" s="74" t="b">
        <v>0</v>
      </c>
      <c r="Z168" s="148" t="str">
        <f>IFERROR(__xludf.DUMMYFUNCTION("""COMPUTED_VALUE"""),"")</f>
        <v/>
      </c>
      <c r="AA168" s="148" t="str">
        <f>IFERROR(__xludf.DUMMYFUNCTION("""COMPUTED_VALUE"""),"")</f>
        <v/>
      </c>
      <c r="AB168" s="148" t="str">
        <f>IFERROR(__xludf.DUMMYFUNCTION("""COMPUTED_VALUE"""),"")</f>
        <v/>
      </c>
      <c r="AC168" s="153"/>
      <c r="AD168" s="148"/>
      <c r="AE168" s="148"/>
      <c r="AF168" s="148" t="s">
        <v>613</v>
      </c>
      <c r="AG168" s="148"/>
      <c r="AH168" s="148"/>
      <c r="AI168" s="148" t="s">
        <v>614</v>
      </c>
      <c r="AJ168" s="148" t="s">
        <v>614</v>
      </c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</row>
    <row r="169" ht="14.25" customHeight="1">
      <c r="A169" s="152"/>
      <c r="B169" s="135"/>
      <c r="C169" s="77"/>
      <c r="D169" s="136"/>
      <c r="E169" s="136"/>
      <c r="F169" s="60"/>
      <c r="G169" s="62"/>
      <c r="H169" s="63"/>
      <c r="I169" s="138"/>
      <c r="J169" s="79"/>
      <c r="K169" s="80"/>
      <c r="L169" s="66"/>
      <c r="M169" s="81"/>
      <c r="N169" s="167"/>
      <c r="O169" s="87"/>
      <c r="P169" s="151"/>
      <c r="Q169" s="143"/>
      <c r="R169" s="74"/>
      <c r="S169" s="158"/>
      <c r="T169" s="146">
        <f t="shared" si="10"/>
        <v>0</v>
      </c>
      <c r="U169" s="146">
        <f t="shared" si="21"/>
        <v>0</v>
      </c>
      <c r="V169" s="147"/>
      <c r="W169" s="74" t="b">
        <v>0</v>
      </c>
      <c r="X169" s="74" t="b">
        <v>0</v>
      </c>
      <c r="Y169" s="74" t="b">
        <v>0</v>
      </c>
      <c r="Z169" s="148" t="str">
        <f>IFERROR(__xludf.DUMMYFUNCTION("""COMPUTED_VALUE"""),"")</f>
        <v/>
      </c>
      <c r="AA169" s="148" t="str">
        <f>IFERROR(__xludf.DUMMYFUNCTION("""COMPUTED_VALUE"""),"")</f>
        <v/>
      </c>
      <c r="AB169" s="148" t="str">
        <f>IFERROR(__xludf.DUMMYFUNCTION("""COMPUTED_VALUE"""),"")</f>
        <v/>
      </c>
      <c r="AC169" s="153"/>
      <c r="AD169" s="148"/>
      <c r="AE169" s="148"/>
      <c r="AF169" s="148" t="s">
        <v>613</v>
      </c>
      <c r="AG169" s="148"/>
      <c r="AH169" s="148"/>
      <c r="AI169" s="148" t="s">
        <v>614</v>
      </c>
      <c r="AJ169" s="148" t="s">
        <v>614</v>
      </c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</row>
    <row r="170" ht="14.25" customHeight="1">
      <c r="A170" s="152"/>
      <c r="B170" s="135"/>
      <c r="C170" s="77"/>
      <c r="D170" s="136"/>
      <c r="E170" s="136"/>
      <c r="F170" s="60"/>
      <c r="G170" s="62"/>
      <c r="H170" s="63"/>
      <c r="I170" s="138"/>
      <c r="J170" s="79"/>
      <c r="K170" s="80"/>
      <c r="L170" s="66"/>
      <c r="M170" s="81"/>
      <c r="N170" s="167"/>
      <c r="O170" s="87"/>
      <c r="P170" s="151"/>
      <c r="Q170" s="143"/>
      <c r="R170" s="74"/>
      <c r="S170" s="158"/>
      <c r="T170" s="146">
        <f t="shared" si="10"/>
        <v>0</v>
      </c>
      <c r="U170" s="146">
        <f t="shared" si="21"/>
        <v>0</v>
      </c>
      <c r="V170" s="147"/>
      <c r="W170" s="74" t="b">
        <v>0</v>
      </c>
      <c r="X170" s="74" t="b">
        <v>0</v>
      </c>
      <c r="Y170" s="74" t="b">
        <v>0</v>
      </c>
      <c r="Z170" s="148" t="str">
        <f>IFERROR(__xludf.DUMMYFUNCTION("""COMPUTED_VALUE"""),"")</f>
        <v/>
      </c>
      <c r="AA170" s="148" t="str">
        <f>IFERROR(__xludf.DUMMYFUNCTION("""COMPUTED_VALUE"""),"")</f>
        <v/>
      </c>
      <c r="AB170" s="148" t="str">
        <f>IFERROR(__xludf.DUMMYFUNCTION("""COMPUTED_VALUE"""),"")</f>
        <v/>
      </c>
      <c r="AC170" s="153"/>
      <c r="AD170" s="148"/>
      <c r="AE170" s="148"/>
      <c r="AF170" s="148" t="s">
        <v>613</v>
      </c>
      <c r="AG170" s="148"/>
      <c r="AH170" s="148"/>
      <c r="AI170" s="148" t="s">
        <v>614</v>
      </c>
      <c r="AJ170" s="148" t="s">
        <v>614</v>
      </c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</row>
    <row r="171" ht="14.25" customHeight="1">
      <c r="A171" s="152"/>
      <c r="B171" s="135"/>
      <c r="C171" s="77"/>
      <c r="D171" s="136"/>
      <c r="E171" s="136"/>
      <c r="F171" s="60"/>
      <c r="G171" s="62"/>
      <c r="H171" s="63"/>
      <c r="I171" s="138"/>
      <c r="J171" s="79"/>
      <c r="K171" s="80"/>
      <c r="L171" s="66"/>
      <c r="M171" s="81"/>
      <c r="N171" s="167"/>
      <c r="O171" s="87"/>
      <c r="P171" s="151"/>
      <c r="Q171" s="143"/>
      <c r="R171" s="74"/>
      <c r="S171" s="158"/>
      <c r="T171" s="146">
        <f t="shared" si="10"/>
        <v>0</v>
      </c>
      <c r="U171" s="146">
        <f t="shared" si="21"/>
        <v>0</v>
      </c>
      <c r="V171" s="147"/>
      <c r="W171" s="74" t="b">
        <v>0</v>
      </c>
      <c r="X171" s="74" t="b">
        <v>0</v>
      </c>
      <c r="Y171" s="74" t="b">
        <v>0</v>
      </c>
      <c r="Z171" s="148" t="str">
        <f>IFERROR(__xludf.DUMMYFUNCTION("""COMPUTED_VALUE"""),"")</f>
        <v/>
      </c>
      <c r="AA171" s="148" t="str">
        <f>IFERROR(__xludf.DUMMYFUNCTION("""COMPUTED_VALUE"""),"")</f>
        <v/>
      </c>
      <c r="AB171" s="148" t="str">
        <f>IFERROR(__xludf.DUMMYFUNCTION("""COMPUTED_VALUE"""),"")</f>
        <v/>
      </c>
      <c r="AC171" s="153"/>
      <c r="AD171" s="148"/>
      <c r="AE171" s="148"/>
      <c r="AF171" s="148" t="s">
        <v>613</v>
      </c>
      <c r="AG171" s="148"/>
      <c r="AH171" s="148"/>
      <c r="AI171" s="148" t="s">
        <v>614</v>
      </c>
      <c r="AJ171" s="148" t="s">
        <v>614</v>
      </c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</row>
    <row r="172" ht="14.25" customHeight="1">
      <c r="A172" s="152"/>
      <c r="B172" s="135"/>
      <c r="C172" s="77"/>
      <c r="D172" s="136"/>
      <c r="E172" s="136"/>
      <c r="F172" s="60"/>
      <c r="G172" s="62"/>
      <c r="H172" s="63"/>
      <c r="I172" s="138"/>
      <c r="J172" s="79"/>
      <c r="K172" s="80"/>
      <c r="L172" s="66"/>
      <c r="M172" s="81"/>
      <c r="N172" s="167"/>
      <c r="O172" s="87"/>
      <c r="P172" s="151"/>
      <c r="Q172" s="143"/>
      <c r="R172" s="74"/>
      <c r="S172" s="158"/>
      <c r="T172" s="146">
        <f t="shared" si="10"/>
        <v>0</v>
      </c>
      <c r="U172" s="146">
        <f t="shared" si="21"/>
        <v>0</v>
      </c>
      <c r="V172" s="147"/>
      <c r="W172" s="74" t="b">
        <v>0</v>
      </c>
      <c r="X172" s="74" t="b">
        <v>0</v>
      </c>
      <c r="Y172" s="74" t="b">
        <v>0</v>
      </c>
      <c r="Z172" s="148" t="str">
        <f>IFERROR(__xludf.DUMMYFUNCTION("""COMPUTED_VALUE"""),"")</f>
        <v/>
      </c>
      <c r="AA172" s="148" t="str">
        <f>IFERROR(__xludf.DUMMYFUNCTION("""COMPUTED_VALUE"""),"")</f>
        <v/>
      </c>
      <c r="AB172" s="148" t="str">
        <f>IFERROR(__xludf.DUMMYFUNCTION("""COMPUTED_VALUE"""),"")</f>
        <v/>
      </c>
      <c r="AC172" s="153"/>
      <c r="AD172" s="148"/>
      <c r="AE172" s="148"/>
      <c r="AF172" s="148" t="s">
        <v>613</v>
      </c>
      <c r="AG172" s="148"/>
      <c r="AH172" s="148"/>
      <c r="AI172" s="148" t="s">
        <v>614</v>
      </c>
      <c r="AJ172" s="148" t="s">
        <v>614</v>
      </c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</row>
    <row r="173" ht="14.25" customHeight="1">
      <c r="A173" s="152"/>
      <c r="B173" s="135"/>
      <c r="C173" s="77"/>
      <c r="D173" s="136"/>
      <c r="E173" s="136"/>
      <c r="F173" s="60"/>
      <c r="G173" s="62"/>
      <c r="H173" s="63"/>
      <c r="I173" s="138"/>
      <c r="J173" s="79"/>
      <c r="K173" s="80"/>
      <c r="L173" s="66"/>
      <c r="M173" s="81"/>
      <c r="N173" s="167"/>
      <c r="O173" s="87"/>
      <c r="P173" s="151"/>
      <c r="Q173" s="143"/>
      <c r="R173" s="74"/>
      <c r="S173" s="158"/>
      <c r="T173" s="146">
        <f t="shared" si="10"/>
        <v>0</v>
      </c>
      <c r="U173" s="146">
        <f t="shared" si="21"/>
        <v>0</v>
      </c>
      <c r="V173" s="147"/>
      <c r="W173" s="74" t="b">
        <v>0</v>
      </c>
      <c r="X173" s="74" t="b">
        <v>0</v>
      </c>
      <c r="Y173" s="74" t="b">
        <v>0</v>
      </c>
      <c r="Z173" s="148" t="str">
        <f>IFERROR(__xludf.DUMMYFUNCTION("""COMPUTED_VALUE"""),"")</f>
        <v/>
      </c>
      <c r="AA173" s="148" t="str">
        <f>IFERROR(__xludf.DUMMYFUNCTION("""COMPUTED_VALUE"""),"")</f>
        <v/>
      </c>
      <c r="AB173" s="148" t="str">
        <f>IFERROR(__xludf.DUMMYFUNCTION("""COMPUTED_VALUE"""),"")</f>
        <v/>
      </c>
      <c r="AC173" s="153"/>
      <c r="AD173" s="148"/>
      <c r="AE173" s="148"/>
      <c r="AF173" s="148" t="s">
        <v>613</v>
      </c>
      <c r="AG173" s="148"/>
      <c r="AH173" s="148"/>
      <c r="AI173" s="148" t="s">
        <v>614</v>
      </c>
      <c r="AJ173" s="148" t="s">
        <v>614</v>
      </c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</row>
    <row r="174" ht="14.25" customHeight="1">
      <c r="A174" s="152"/>
      <c r="B174" s="135"/>
      <c r="C174" s="77"/>
      <c r="D174" s="136"/>
      <c r="E174" s="136"/>
      <c r="F174" s="60"/>
      <c r="G174" s="62"/>
      <c r="H174" s="63"/>
      <c r="I174" s="138"/>
      <c r="J174" s="79"/>
      <c r="K174" s="80"/>
      <c r="L174" s="66"/>
      <c r="M174" s="81"/>
      <c r="N174" s="167"/>
      <c r="O174" s="87"/>
      <c r="P174" s="151"/>
      <c r="Q174" s="143"/>
      <c r="R174" s="74"/>
      <c r="S174" s="158"/>
      <c r="T174" s="146">
        <f t="shared" si="10"/>
        <v>0</v>
      </c>
      <c r="U174" s="146">
        <f t="shared" si="21"/>
        <v>0</v>
      </c>
      <c r="V174" s="147"/>
      <c r="W174" s="74" t="b">
        <v>0</v>
      </c>
      <c r="X174" s="74" t="b">
        <v>0</v>
      </c>
      <c r="Y174" s="74" t="b">
        <v>0</v>
      </c>
      <c r="Z174" s="148" t="str">
        <f>IFERROR(__xludf.DUMMYFUNCTION("""COMPUTED_VALUE"""),"")</f>
        <v/>
      </c>
      <c r="AA174" s="148" t="str">
        <f>IFERROR(__xludf.DUMMYFUNCTION("""COMPUTED_VALUE"""),"")</f>
        <v/>
      </c>
      <c r="AB174" s="148" t="str">
        <f>IFERROR(__xludf.DUMMYFUNCTION("""COMPUTED_VALUE"""),"")</f>
        <v/>
      </c>
      <c r="AC174" s="153"/>
      <c r="AD174" s="148"/>
      <c r="AE174" s="148"/>
      <c r="AF174" s="148" t="s">
        <v>613</v>
      </c>
      <c r="AG174" s="148"/>
      <c r="AH174" s="148"/>
      <c r="AI174" s="148" t="s">
        <v>614</v>
      </c>
      <c r="AJ174" s="148" t="s">
        <v>614</v>
      </c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</row>
    <row r="175" ht="14.25" customHeight="1">
      <c r="A175" s="152"/>
      <c r="B175" s="135"/>
      <c r="C175" s="77"/>
      <c r="D175" s="136"/>
      <c r="E175" s="136"/>
      <c r="F175" s="60"/>
      <c r="G175" s="62"/>
      <c r="H175" s="63"/>
      <c r="I175" s="138"/>
      <c r="J175" s="79"/>
      <c r="K175" s="80"/>
      <c r="L175" s="66"/>
      <c r="M175" s="81"/>
      <c r="N175" s="167"/>
      <c r="O175" s="87"/>
      <c r="P175" s="151"/>
      <c r="Q175" s="143"/>
      <c r="R175" s="74"/>
      <c r="S175" s="158"/>
      <c r="T175" s="146">
        <f t="shared" si="10"/>
        <v>0</v>
      </c>
      <c r="U175" s="146">
        <f t="shared" si="21"/>
        <v>0</v>
      </c>
      <c r="V175" s="147"/>
      <c r="W175" s="74" t="b">
        <v>0</v>
      </c>
      <c r="X175" s="74" t="b">
        <v>0</v>
      </c>
      <c r="Y175" s="74" t="b">
        <v>0</v>
      </c>
      <c r="Z175" s="148" t="str">
        <f>IFERROR(__xludf.DUMMYFUNCTION("""COMPUTED_VALUE"""),"")</f>
        <v/>
      </c>
      <c r="AA175" s="148" t="str">
        <f>IFERROR(__xludf.DUMMYFUNCTION("""COMPUTED_VALUE"""),"")</f>
        <v/>
      </c>
      <c r="AB175" s="148" t="str">
        <f>IFERROR(__xludf.DUMMYFUNCTION("""COMPUTED_VALUE"""),"")</f>
        <v/>
      </c>
      <c r="AC175" s="153"/>
      <c r="AD175" s="148"/>
      <c r="AE175" s="148"/>
      <c r="AF175" s="148" t="s">
        <v>613</v>
      </c>
      <c r="AG175" s="148"/>
      <c r="AH175" s="148"/>
      <c r="AI175" s="148" t="s">
        <v>614</v>
      </c>
      <c r="AJ175" s="148" t="s">
        <v>614</v>
      </c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</row>
    <row r="176" ht="14.25" customHeight="1">
      <c r="A176" s="152"/>
      <c r="B176" s="135"/>
      <c r="C176" s="77"/>
      <c r="D176" s="136"/>
      <c r="E176" s="136"/>
      <c r="F176" s="60"/>
      <c r="G176" s="62"/>
      <c r="H176" s="63"/>
      <c r="I176" s="138"/>
      <c r="J176" s="79"/>
      <c r="K176" s="80"/>
      <c r="L176" s="66"/>
      <c r="M176" s="81"/>
      <c r="N176" s="167"/>
      <c r="O176" s="87"/>
      <c r="P176" s="151"/>
      <c r="Q176" s="143"/>
      <c r="R176" s="74"/>
      <c r="S176" s="158"/>
      <c r="T176" s="146">
        <f t="shared" si="10"/>
        <v>0</v>
      </c>
      <c r="U176" s="146">
        <f t="shared" si="21"/>
        <v>0</v>
      </c>
      <c r="V176" s="147"/>
      <c r="W176" s="74" t="b">
        <v>0</v>
      </c>
      <c r="X176" s="74" t="b">
        <v>0</v>
      </c>
      <c r="Y176" s="74" t="b">
        <v>0</v>
      </c>
      <c r="Z176" s="148" t="str">
        <f>IFERROR(__xludf.DUMMYFUNCTION("""COMPUTED_VALUE"""),"")</f>
        <v/>
      </c>
      <c r="AA176" s="148" t="str">
        <f>IFERROR(__xludf.DUMMYFUNCTION("""COMPUTED_VALUE"""),"")</f>
        <v/>
      </c>
      <c r="AB176" s="148" t="str">
        <f>IFERROR(__xludf.DUMMYFUNCTION("""COMPUTED_VALUE"""),"")</f>
        <v/>
      </c>
      <c r="AC176" s="153"/>
      <c r="AD176" s="148"/>
      <c r="AE176" s="148"/>
      <c r="AF176" s="148" t="s">
        <v>613</v>
      </c>
      <c r="AG176" s="148"/>
      <c r="AH176" s="148"/>
      <c r="AI176" s="148" t="s">
        <v>614</v>
      </c>
      <c r="AJ176" s="148" t="s">
        <v>614</v>
      </c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</row>
    <row r="177" ht="14.25" customHeight="1">
      <c r="A177" s="152"/>
      <c r="B177" s="135"/>
      <c r="C177" s="77"/>
      <c r="D177" s="136"/>
      <c r="E177" s="136"/>
      <c r="F177" s="60"/>
      <c r="G177" s="62"/>
      <c r="H177" s="63"/>
      <c r="I177" s="138"/>
      <c r="J177" s="79"/>
      <c r="K177" s="80"/>
      <c r="L177" s="66"/>
      <c r="M177" s="81"/>
      <c r="N177" s="167"/>
      <c r="O177" s="87"/>
      <c r="P177" s="151"/>
      <c r="Q177" s="143"/>
      <c r="R177" s="74"/>
      <c r="S177" s="158"/>
      <c r="T177" s="146">
        <f t="shared" si="10"/>
        <v>0</v>
      </c>
      <c r="U177" s="146">
        <f t="shared" si="21"/>
        <v>0</v>
      </c>
      <c r="V177" s="147"/>
      <c r="W177" s="74" t="b">
        <v>0</v>
      </c>
      <c r="X177" s="74" t="b">
        <v>0</v>
      </c>
      <c r="Y177" s="74" t="b">
        <v>0</v>
      </c>
      <c r="Z177" s="148" t="str">
        <f>IFERROR(__xludf.DUMMYFUNCTION("""COMPUTED_VALUE"""),"")</f>
        <v/>
      </c>
      <c r="AA177" s="148" t="str">
        <f>IFERROR(__xludf.DUMMYFUNCTION("""COMPUTED_VALUE"""),"")</f>
        <v/>
      </c>
      <c r="AB177" s="148" t="str">
        <f>IFERROR(__xludf.DUMMYFUNCTION("""COMPUTED_VALUE"""),"")</f>
        <v/>
      </c>
      <c r="AC177" s="153"/>
      <c r="AD177" s="148"/>
      <c r="AE177" s="148"/>
      <c r="AF177" s="148" t="s">
        <v>613</v>
      </c>
      <c r="AG177" s="148"/>
      <c r="AH177" s="148"/>
      <c r="AI177" s="148" t="s">
        <v>614</v>
      </c>
      <c r="AJ177" s="148" t="s">
        <v>614</v>
      </c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</row>
    <row r="178" ht="14.25" customHeight="1">
      <c r="A178" s="152"/>
      <c r="B178" s="135"/>
      <c r="C178" s="77"/>
      <c r="D178" s="136"/>
      <c r="E178" s="136"/>
      <c r="F178" s="60"/>
      <c r="G178" s="62"/>
      <c r="H178" s="63"/>
      <c r="I178" s="138"/>
      <c r="J178" s="79"/>
      <c r="K178" s="80"/>
      <c r="L178" s="66"/>
      <c r="M178" s="81"/>
      <c r="N178" s="167"/>
      <c r="O178" s="87"/>
      <c r="P178" s="151"/>
      <c r="Q178" s="143"/>
      <c r="R178" s="74"/>
      <c r="S178" s="158"/>
      <c r="T178" s="146">
        <f t="shared" si="10"/>
        <v>0</v>
      </c>
      <c r="U178" s="146">
        <f t="shared" si="21"/>
        <v>0</v>
      </c>
      <c r="V178" s="147"/>
      <c r="W178" s="74" t="b">
        <v>0</v>
      </c>
      <c r="X178" s="74" t="b">
        <v>0</v>
      </c>
      <c r="Y178" s="74" t="b">
        <v>0</v>
      </c>
      <c r="Z178" s="148" t="str">
        <f>IFERROR(__xludf.DUMMYFUNCTION("""COMPUTED_VALUE"""),"")</f>
        <v/>
      </c>
      <c r="AA178" s="148" t="str">
        <f>IFERROR(__xludf.DUMMYFUNCTION("""COMPUTED_VALUE"""),"")</f>
        <v/>
      </c>
      <c r="AB178" s="148" t="str">
        <f>IFERROR(__xludf.DUMMYFUNCTION("""COMPUTED_VALUE"""),"")</f>
        <v/>
      </c>
      <c r="AC178" s="153"/>
      <c r="AD178" s="148"/>
      <c r="AE178" s="148"/>
      <c r="AF178" s="148" t="s">
        <v>613</v>
      </c>
      <c r="AG178" s="148"/>
      <c r="AH178" s="148"/>
      <c r="AI178" s="148" t="s">
        <v>614</v>
      </c>
      <c r="AJ178" s="148" t="s">
        <v>614</v>
      </c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</row>
    <row r="179" ht="14.25" customHeight="1">
      <c r="A179" s="152"/>
      <c r="B179" s="135"/>
      <c r="C179" s="77"/>
      <c r="D179" s="136"/>
      <c r="E179" s="136"/>
      <c r="F179" s="60"/>
      <c r="G179" s="62"/>
      <c r="H179" s="63"/>
      <c r="I179" s="138"/>
      <c r="J179" s="79"/>
      <c r="K179" s="80"/>
      <c r="L179" s="66"/>
      <c r="M179" s="81"/>
      <c r="N179" s="167"/>
      <c r="O179" s="87"/>
      <c r="P179" s="151"/>
      <c r="Q179" s="143"/>
      <c r="R179" s="74"/>
      <c r="S179" s="158"/>
      <c r="T179" s="146">
        <f t="shared" si="10"/>
        <v>0</v>
      </c>
      <c r="U179" s="146">
        <f t="shared" si="21"/>
        <v>0</v>
      </c>
      <c r="V179" s="147"/>
      <c r="W179" s="74" t="b">
        <v>0</v>
      </c>
      <c r="X179" s="74" t="b">
        <v>0</v>
      </c>
      <c r="Y179" s="74" t="b">
        <v>0</v>
      </c>
      <c r="Z179" s="148" t="str">
        <f>IFERROR(__xludf.DUMMYFUNCTION("""COMPUTED_VALUE"""),"")</f>
        <v/>
      </c>
      <c r="AA179" s="148" t="str">
        <f>IFERROR(__xludf.DUMMYFUNCTION("""COMPUTED_VALUE"""),"")</f>
        <v/>
      </c>
      <c r="AB179" s="148" t="str">
        <f>IFERROR(__xludf.DUMMYFUNCTION("""COMPUTED_VALUE"""),"")</f>
        <v/>
      </c>
      <c r="AC179" s="153"/>
      <c r="AD179" s="148"/>
      <c r="AE179" s="148"/>
      <c r="AF179" s="148" t="s">
        <v>613</v>
      </c>
      <c r="AG179" s="148"/>
      <c r="AH179" s="148"/>
      <c r="AI179" s="148" t="s">
        <v>614</v>
      </c>
      <c r="AJ179" s="148" t="s">
        <v>614</v>
      </c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</row>
    <row r="180" ht="14.25" customHeight="1">
      <c r="A180" s="152"/>
      <c r="B180" s="135"/>
      <c r="C180" s="77"/>
      <c r="D180" s="136"/>
      <c r="E180" s="136"/>
      <c r="F180" s="60"/>
      <c r="G180" s="62"/>
      <c r="H180" s="63"/>
      <c r="I180" s="138"/>
      <c r="J180" s="79"/>
      <c r="K180" s="80"/>
      <c r="L180" s="66"/>
      <c r="M180" s="81"/>
      <c r="N180" s="167"/>
      <c r="O180" s="87"/>
      <c r="P180" s="151"/>
      <c r="Q180" s="143"/>
      <c r="R180" s="74"/>
      <c r="S180" s="158"/>
      <c r="T180" s="146">
        <f t="shared" si="10"/>
        <v>0</v>
      </c>
      <c r="U180" s="146">
        <f t="shared" si="21"/>
        <v>0</v>
      </c>
      <c r="V180" s="147"/>
      <c r="W180" s="74" t="b">
        <v>0</v>
      </c>
      <c r="X180" s="74" t="b">
        <v>0</v>
      </c>
      <c r="Y180" s="74" t="b">
        <v>0</v>
      </c>
      <c r="Z180" s="148" t="str">
        <f>IFERROR(__xludf.DUMMYFUNCTION("""COMPUTED_VALUE"""),"")</f>
        <v/>
      </c>
      <c r="AA180" s="148" t="str">
        <f>IFERROR(__xludf.DUMMYFUNCTION("""COMPUTED_VALUE"""),"")</f>
        <v/>
      </c>
      <c r="AB180" s="148" t="str">
        <f>IFERROR(__xludf.DUMMYFUNCTION("""COMPUTED_VALUE"""),"")</f>
        <v/>
      </c>
      <c r="AC180" s="153"/>
      <c r="AD180" s="148"/>
      <c r="AE180" s="148"/>
      <c r="AF180" s="148" t="s">
        <v>613</v>
      </c>
      <c r="AG180" s="148"/>
      <c r="AH180" s="148"/>
      <c r="AI180" s="148" t="s">
        <v>614</v>
      </c>
      <c r="AJ180" s="148" t="s">
        <v>614</v>
      </c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</row>
    <row r="181" ht="14.25" customHeight="1">
      <c r="A181" s="152"/>
      <c r="B181" s="135"/>
      <c r="C181" s="77"/>
      <c r="D181" s="136"/>
      <c r="E181" s="136"/>
      <c r="F181" s="60"/>
      <c r="G181" s="62"/>
      <c r="H181" s="63"/>
      <c r="I181" s="138"/>
      <c r="J181" s="79"/>
      <c r="K181" s="80"/>
      <c r="L181" s="66"/>
      <c r="M181" s="81"/>
      <c r="N181" s="167"/>
      <c r="O181" s="87"/>
      <c r="P181" s="151"/>
      <c r="Q181" s="143"/>
      <c r="R181" s="74"/>
      <c r="S181" s="158"/>
      <c r="T181" s="146">
        <f t="shared" si="10"/>
        <v>0</v>
      </c>
      <c r="U181" s="146">
        <f t="shared" si="21"/>
        <v>0</v>
      </c>
      <c r="V181" s="147"/>
      <c r="W181" s="74" t="b">
        <v>0</v>
      </c>
      <c r="X181" s="74" t="b">
        <v>0</v>
      </c>
      <c r="Y181" s="74" t="b">
        <v>0</v>
      </c>
      <c r="Z181" s="148" t="str">
        <f>IFERROR(__xludf.DUMMYFUNCTION("""COMPUTED_VALUE"""),"")</f>
        <v/>
      </c>
      <c r="AA181" s="148" t="str">
        <f>IFERROR(__xludf.DUMMYFUNCTION("""COMPUTED_VALUE"""),"")</f>
        <v/>
      </c>
      <c r="AB181" s="148" t="str">
        <f>IFERROR(__xludf.DUMMYFUNCTION("""COMPUTED_VALUE"""),"")</f>
        <v/>
      </c>
      <c r="AC181" s="153"/>
      <c r="AD181" s="148"/>
      <c r="AE181" s="148"/>
      <c r="AF181" s="148" t="s">
        <v>613</v>
      </c>
      <c r="AG181" s="148"/>
      <c r="AH181" s="148"/>
      <c r="AI181" s="148" t="s">
        <v>614</v>
      </c>
      <c r="AJ181" s="148" t="s">
        <v>614</v>
      </c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</row>
    <row r="182" ht="14.25" customHeight="1">
      <c r="A182" s="152"/>
      <c r="B182" s="135"/>
      <c r="C182" s="77"/>
      <c r="D182" s="136"/>
      <c r="E182" s="136"/>
      <c r="F182" s="60"/>
      <c r="G182" s="62"/>
      <c r="H182" s="63"/>
      <c r="I182" s="138"/>
      <c r="J182" s="79"/>
      <c r="K182" s="80"/>
      <c r="L182" s="66"/>
      <c r="M182" s="81"/>
      <c r="N182" s="167"/>
      <c r="O182" s="87"/>
      <c r="P182" s="151"/>
      <c r="Q182" s="143"/>
      <c r="R182" s="74"/>
      <c r="S182" s="158"/>
      <c r="T182" s="146">
        <f t="shared" si="10"/>
        <v>0</v>
      </c>
      <c r="U182" s="146">
        <f t="shared" si="21"/>
        <v>0</v>
      </c>
      <c r="V182" s="147"/>
      <c r="W182" s="74" t="b">
        <v>0</v>
      </c>
      <c r="X182" s="74" t="b">
        <v>0</v>
      </c>
      <c r="Y182" s="74" t="b">
        <v>0</v>
      </c>
      <c r="Z182" s="148" t="str">
        <f>IFERROR(__xludf.DUMMYFUNCTION("""COMPUTED_VALUE"""),"")</f>
        <v/>
      </c>
      <c r="AA182" s="148" t="str">
        <f>IFERROR(__xludf.DUMMYFUNCTION("""COMPUTED_VALUE"""),"")</f>
        <v/>
      </c>
      <c r="AB182" s="148" t="str">
        <f>IFERROR(__xludf.DUMMYFUNCTION("""COMPUTED_VALUE"""),"")</f>
        <v/>
      </c>
      <c r="AC182" s="153"/>
      <c r="AD182" s="148"/>
      <c r="AE182" s="148"/>
      <c r="AF182" s="148" t="s">
        <v>613</v>
      </c>
      <c r="AG182" s="148"/>
      <c r="AH182" s="148"/>
      <c r="AI182" s="148" t="s">
        <v>614</v>
      </c>
      <c r="AJ182" s="148" t="s">
        <v>614</v>
      </c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</row>
    <row r="183" ht="14.25" customHeight="1">
      <c r="A183" s="152"/>
      <c r="B183" s="135"/>
      <c r="C183" s="77"/>
      <c r="D183" s="161"/>
      <c r="E183" s="136"/>
      <c r="F183" s="60"/>
      <c r="G183" s="62"/>
      <c r="H183" s="63"/>
      <c r="I183" s="138"/>
      <c r="J183" s="79"/>
      <c r="K183" s="80"/>
      <c r="L183" s="66"/>
      <c r="M183" s="81"/>
      <c r="N183" s="167"/>
      <c r="O183" s="87"/>
      <c r="P183" s="151"/>
      <c r="Q183" s="143"/>
      <c r="R183" s="74"/>
      <c r="S183" s="158"/>
      <c r="T183" s="146">
        <f t="shared" si="10"/>
        <v>0</v>
      </c>
      <c r="U183" s="146">
        <f t="shared" si="21"/>
        <v>0</v>
      </c>
      <c r="V183" s="147"/>
      <c r="W183" s="74" t="b">
        <v>0</v>
      </c>
      <c r="X183" s="74" t="b">
        <v>0</v>
      </c>
      <c r="Y183" s="74" t="b">
        <v>0</v>
      </c>
      <c r="Z183" s="148" t="str">
        <f>IFERROR(__xludf.DUMMYFUNCTION("""COMPUTED_VALUE"""),"")</f>
        <v/>
      </c>
      <c r="AA183" s="148" t="str">
        <f>IFERROR(__xludf.DUMMYFUNCTION("""COMPUTED_VALUE"""),"")</f>
        <v/>
      </c>
      <c r="AB183" s="148" t="str">
        <f>IFERROR(__xludf.DUMMYFUNCTION("""COMPUTED_VALUE"""),"")</f>
        <v/>
      </c>
      <c r="AC183" s="153"/>
      <c r="AD183" s="148"/>
      <c r="AE183" s="47"/>
      <c r="AF183" s="148" t="s">
        <v>613</v>
      </c>
      <c r="AG183" s="148"/>
      <c r="AH183" s="148"/>
      <c r="AI183" s="148" t="s">
        <v>614</v>
      </c>
      <c r="AJ183" s="148" t="s">
        <v>614</v>
      </c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</row>
    <row r="184" ht="14.25" customHeight="1">
      <c r="A184" s="152"/>
      <c r="B184" s="135"/>
      <c r="C184" s="77"/>
      <c r="D184" s="161"/>
      <c r="E184" s="136"/>
      <c r="F184" s="60"/>
      <c r="G184" s="62"/>
      <c r="H184" s="63"/>
      <c r="I184" s="138"/>
      <c r="J184" s="79"/>
      <c r="K184" s="80"/>
      <c r="L184" s="66"/>
      <c r="M184" s="81"/>
      <c r="N184" s="167"/>
      <c r="O184" s="87"/>
      <c r="P184" s="151"/>
      <c r="Q184" s="143"/>
      <c r="R184" s="74"/>
      <c r="S184" s="158"/>
      <c r="T184" s="146">
        <f t="shared" si="10"/>
        <v>930</v>
      </c>
      <c r="U184" s="214">
        <v>1550.0</v>
      </c>
      <c r="V184" s="147"/>
      <c r="W184" s="74" t="b">
        <v>0</v>
      </c>
      <c r="X184" s="74" t="b">
        <v>0</v>
      </c>
      <c r="Y184" s="74" t="b">
        <v>0</v>
      </c>
      <c r="Z184" s="148" t="str">
        <f>IFERROR(__xludf.DUMMYFUNCTION("""COMPUTED_VALUE"""),"")</f>
        <v/>
      </c>
      <c r="AA184" s="148" t="str">
        <f>IFERROR(__xludf.DUMMYFUNCTION("""COMPUTED_VALUE"""),"")</f>
        <v/>
      </c>
      <c r="AB184" s="148" t="str">
        <f>IFERROR(__xludf.DUMMYFUNCTION("""COMPUTED_VALUE"""),"")</f>
        <v/>
      </c>
      <c r="AC184" s="153"/>
      <c r="AD184" s="148"/>
      <c r="AE184" s="47"/>
      <c r="AF184" s="148" t="s">
        <v>613</v>
      </c>
      <c r="AG184" s="148"/>
      <c r="AH184" s="148"/>
      <c r="AI184" s="148" t="s">
        <v>614</v>
      </c>
      <c r="AJ184" s="148" t="s">
        <v>614</v>
      </c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</row>
    <row r="185" ht="14.25" customHeight="1">
      <c r="A185" s="134"/>
      <c r="B185" s="135"/>
      <c r="C185" s="77"/>
      <c r="D185" s="161"/>
      <c r="E185" s="136"/>
      <c r="F185" s="60"/>
      <c r="G185" s="62"/>
      <c r="H185" s="63"/>
      <c r="I185" s="138"/>
      <c r="J185" s="79"/>
      <c r="K185" s="80"/>
      <c r="L185" s="66"/>
      <c r="M185" s="81"/>
      <c r="N185" s="167"/>
      <c r="O185" s="87"/>
      <c r="P185" s="151"/>
      <c r="Q185" s="143"/>
      <c r="R185" s="74"/>
      <c r="S185" s="158"/>
      <c r="T185" s="146">
        <f t="shared" si="10"/>
        <v>0</v>
      </c>
      <c r="U185" s="146">
        <f t="shared" ref="U185:U199" si="22">round((O185*89)+(550*N185),-1)</f>
        <v>0</v>
      </c>
      <c r="V185" s="147"/>
      <c r="W185" s="74" t="b">
        <v>0</v>
      </c>
      <c r="X185" s="74" t="b">
        <v>0</v>
      </c>
      <c r="Y185" s="74" t="b">
        <v>0</v>
      </c>
      <c r="Z185" s="148" t="str">
        <f>IFERROR(__xludf.DUMMYFUNCTION("""COMPUTED_VALUE"""),"")</f>
        <v/>
      </c>
      <c r="AA185" s="148" t="str">
        <f>IFERROR(__xludf.DUMMYFUNCTION("""COMPUTED_VALUE"""),"")</f>
        <v/>
      </c>
      <c r="AB185" s="148" t="str">
        <f>IFERROR(__xludf.DUMMYFUNCTION("""COMPUTED_VALUE"""),"")</f>
        <v/>
      </c>
      <c r="AC185" s="153"/>
      <c r="AD185" s="148"/>
      <c r="AE185" s="47"/>
      <c r="AF185" s="148" t="s">
        <v>613</v>
      </c>
      <c r="AG185" s="148"/>
      <c r="AH185" s="148"/>
      <c r="AI185" s="148" t="s">
        <v>614</v>
      </c>
      <c r="AJ185" s="148" t="s">
        <v>614</v>
      </c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</row>
    <row r="186" ht="14.25" customHeight="1">
      <c r="A186" s="134"/>
      <c r="B186" s="135"/>
      <c r="C186" s="77"/>
      <c r="D186" s="161"/>
      <c r="E186" s="136"/>
      <c r="F186" s="60"/>
      <c r="G186" s="62"/>
      <c r="H186" s="63"/>
      <c r="I186" s="138"/>
      <c r="J186" s="79"/>
      <c r="K186" s="80"/>
      <c r="L186" s="66"/>
      <c r="M186" s="81"/>
      <c r="N186" s="167"/>
      <c r="O186" s="87"/>
      <c r="P186" s="151"/>
      <c r="Q186" s="143"/>
      <c r="R186" s="74"/>
      <c r="S186" s="158"/>
      <c r="T186" s="146">
        <f t="shared" si="10"/>
        <v>0</v>
      </c>
      <c r="U186" s="146">
        <f t="shared" si="22"/>
        <v>0</v>
      </c>
      <c r="V186" s="147"/>
      <c r="W186" s="74" t="b">
        <v>0</v>
      </c>
      <c r="X186" s="74" t="b">
        <v>0</v>
      </c>
      <c r="Y186" s="74" t="b">
        <v>0</v>
      </c>
      <c r="Z186" s="148" t="str">
        <f>IFERROR(__xludf.DUMMYFUNCTION("""COMPUTED_VALUE"""),"")</f>
        <v/>
      </c>
      <c r="AA186" s="148" t="str">
        <f>IFERROR(__xludf.DUMMYFUNCTION("""COMPUTED_VALUE"""),"")</f>
        <v/>
      </c>
      <c r="AB186" s="148" t="str">
        <f>IFERROR(__xludf.DUMMYFUNCTION("""COMPUTED_VALUE"""),"")</f>
        <v/>
      </c>
      <c r="AC186" s="153"/>
      <c r="AD186" s="148"/>
      <c r="AE186" s="47"/>
      <c r="AF186" s="148" t="s">
        <v>613</v>
      </c>
      <c r="AG186" s="148"/>
      <c r="AH186" s="148"/>
      <c r="AI186" s="148" t="s">
        <v>614</v>
      </c>
      <c r="AJ186" s="148" t="s">
        <v>614</v>
      </c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</row>
    <row r="187" ht="14.25" customHeight="1">
      <c r="A187" s="134"/>
      <c r="B187" s="135"/>
      <c r="C187" s="77"/>
      <c r="D187" s="161"/>
      <c r="E187" s="136"/>
      <c r="F187" s="60"/>
      <c r="G187" s="62"/>
      <c r="H187" s="63"/>
      <c r="I187" s="138"/>
      <c r="J187" s="79"/>
      <c r="K187" s="80"/>
      <c r="L187" s="66"/>
      <c r="M187" s="81"/>
      <c r="N187" s="167"/>
      <c r="O187" s="87"/>
      <c r="P187" s="151"/>
      <c r="Q187" s="143"/>
      <c r="R187" s="74"/>
      <c r="S187" s="158"/>
      <c r="T187" s="146">
        <f t="shared" si="10"/>
        <v>0</v>
      </c>
      <c r="U187" s="146">
        <f t="shared" si="22"/>
        <v>0</v>
      </c>
      <c r="V187" s="147"/>
      <c r="W187" s="74" t="b">
        <v>0</v>
      </c>
      <c r="X187" s="74" t="b">
        <v>0</v>
      </c>
      <c r="Y187" s="74" t="b">
        <v>0</v>
      </c>
      <c r="Z187" s="148" t="str">
        <f>IFERROR(__xludf.DUMMYFUNCTION("""COMPUTED_VALUE"""),"")</f>
        <v/>
      </c>
      <c r="AA187" s="148" t="str">
        <f>IFERROR(__xludf.DUMMYFUNCTION("""COMPUTED_VALUE"""),"")</f>
        <v/>
      </c>
      <c r="AB187" s="148" t="str">
        <f>IFERROR(__xludf.DUMMYFUNCTION("""COMPUTED_VALUE"""),"")</f>
        <v/>
      </c>
      <c r="AC187" s="153"/>
      <c r="AD187" s="148"/>
      <c r="AE187" s="47"/>
      <c r="AF187" s="148" t="s">
        <v>613</v>
      </c>
      <c r="AG187" s="148"/>
      <c r="AH187" s="148"/>
      <c r="AI187" s="148" t="s">
        <v>614</v>
      </c>
      <c r="AJ187" s="148" t="s">
        <v>614</v>
      </c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</row>
    <row r="188" ht="14.25" customHeight="1">
      <c r="A188" s="134"/>
      <c r="B188" s="135"/>
      <c r="C188" s="77"/>
      <c r="D188" s="161"/>
      <c r="E188" s="136"/>
      <c r="F188" s="60"/>
      <c r="G188" s="62"/>
      <c r="H188" s="63"/>
      <c r="I188" s="138"/>
      <c r="J188" s="79"/>
      <c r="K188" s="80"/>
      <c r="L188" s="66"/>
      <c r="M188" s="81"/>
      <c r="N188" s="167"/>
      <c r="O188" s="87"/>
      <c r="P188" s="151"/>
      <c r="Q188" s="143"/>
      <c r="R188" s="74"/>
      <c r="S188" s="158"/>
      <c r="T188" s="146">
        <f t="shared" si="10"/>
        <v>0</v>
      </c>
      <c r="U188" s="146">
        <f t="shared" si="22"/>
        <v>0</v>
      </c>
      <c r="V188" s="147"/>
      <c r="W188" s="74" t="b">
        <v>0</v>
      </c>
      <c r="X188" s="74" t="b">
        <v>0</v>
      </c>
      <c r="Y188" s="74" t="b">
        <v>0</v>
      </c>
      <c r="Z188" s="148" t="str">
        <f>IFERROR(__xludf.DUMMYFUNCTION("""COMPUTED_VALUE"""),"")</f>
        <v/>
      </c>
      <c r="AA188" s="148" t="str">
        <f>IFERROR(__xludf.DUMMYFUNCTION("""COMPUTED_VALUE"""),"")</f>
        <v/>
      </c>
      <c r="AB188" s="148" t="str">
        <f>IFERROR(__xludf.DUMMYFUNCTION("""COMPUTED_VALUE"""),"")</f>
        <v/>
      </c>
      <c r="AC188" s="153"/>
      <c r="AD188" s="148"/>
      <c r="AE188" s="47"/>
      <c r="AF188" s="148" t="s">
        <v>613</v>
      </c>
      <c r="AG188" s="148"/>
      <c r="AH188" s="148"/>
      <c r="AI188" s="148" t="s">
        <v>614</v>
      </c>
      <c r="AJ188" s="148" t="s">
        <v>614</v>
      </c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</row>
    <row r="189" ht="14.25" customHeight="1">
      <c r="A189" s="134"/>
      <c r="B189" s="135"/>
      <c r="C189" s="77"/>
      <c r="D189" s="161"/>
      <c r="E189" s="136"/>
      <c r="F189" s="60"/>
      <c r="G189" s="62"/>
      <c r="H189" s="63"/>
      <c r="I189" s="138"/>
      <c r="J189" s="79"/>
      <c r="K189" s="80"/>
      <c r="L189" s="66"/>
      <c r="M189" s="81"/>
      <c r="N189" s="167"/>
      <c r="O189" s="87"/>
      <c r="P189" s="151"/>
      <c r="Q189" s="143"/>
      <c r="R189" s="74"/>
      <c r="S189" s="158"/>
      <c r="T189" s="146">
        <f t="shared" si="10"/>
        <v>0</v>
      </c>
      <c r="U189" s="146">
        <f t="shared" si="22"/>
        <v>0</v>
      </c>
      <c r="V189" s="147"/>
      <c r="W189" s="74" t="b">
        <v>0</v>
      </c>
      <c r="X189" s="74" t="b">
        <v>0</v>
      </c>
      <c r="Y189" s="74" t="b">
        <v>0</v>
      </c>
      <c r="Z189" s="148" t="str">
        <f>IFERROR(__xludf.DUMMYFUNCTION("""COMPUTED_VALUE"""),"")</f>
        <v/>
      </c>
      <c r="AA189" s="148" t="str">
        <f>IFERROR(__xludf.DUMMYFUNCTION("""COMPUTED_VALUE"""),"")</f>
        <v/>
      </c>
      <c r="AB189" s="148" t="str">
        <f>IFERROR(__xludf.DUMMYFUNCTION("""COMPUTED_VALUE"""),"")</f>
        <v/>
      </c>
      <c r="AC189" s="153"/>
      <c r="AD189" s="148"/>
      <c r="AE189" s="47"/>
      <c r="AF189" s="148" t="s">
        <v>613</v>
      </c>
      <c r="AG189" s="148"/>
      <c r="AH189" s="148"/>
      <c r="AI189" s="148" t="s">
        <v>614</v>
      </c>
      <c r="AJ189" s="148" t="s">
        <v>614</v>
      </c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</row>
    <row r="190" ht="14.25" customHeight="1">
      <c r="A190" s="134"/>
      <c r="B190" s="135"/>
      <c r="C190" s="77"/>
      <c r="D190" s="161"/>
      <c r="E190" s="136"/>
      <c r="F190" s="60"/>
      <c r="G190" s="62"/>
      <c r="H190" s="63"/>
      <c r="I190" s="138"/>
      <c r="J190" s="79"/>
      <c r="K190" s="80"/>
      <c r="L190" s="66"/>
      <c r="M190" s="81"/>
      <c r="N190" s="167"/>
      <c r="O190" s="87"/>
      <c r="P190" s="151"/>
      <c r="Q190" s="143"/>
      <c r="R190" s="74"/>
      <c r="S190" s="158"/>
      <c r="T190" s="146">
        <f t="shared" si="10"/>
        <v>0</v>
      </c>
      <c r="U190" s="146">
        <f t="shared" si="22"/>
        <v>0</v>
      </c>
      <c r="V190" s="147"/>
      <c r="W190" s="74" t="b">
        <v>0</v>
      </c>
      <c r="X190" s="74" t="b">
        <v>0</v>
      </c>
      <c r="Y190" s="74" t="b">
        <v>0</v>
      </c>
      <c r="Z190" s="148" t="str">
        <f>IFERROR(__xludf.DUMMYFUNCTION("""COMPUTED_VALUE"""),"")</f>
        <v/>
      </c>
      <c r="AA190" s="148" t="str">
        <f>IFERROR(__xludf.DUMMYFUNCTION("""COMPUTED_VALUE"""),"")</f>
        <v/>
      </c>
      <c r="AB190" s="148" t="str">
        <f>IFERROR(__xludf.DUMMYFUNCTION("""COMPUTED_VALUE"""),"")</f>
        <v/>
      </c>
      <c r="AC190" s="153"/>
      <c r="AD190" s="148"/>
      <c r="AE190" s="47"/>
      <c r="AF190" s="148" t="s">
        <v>613</v>
      </c>
      <c r="AG190" s="148"/>
      <c r="AH190" s="148"/>
      <c r="AI190" s="148" t="s">
        <v>614</v>
      </c>
      <c r="AJ190" s="148" t="s">
        <v>614</v>
      </c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</row>
    <row r="191" ht="14.25" customHeight="1">
      <c r="A191" s="134"/>
      <c r="B191" s="135"/>
      <c r="C191" s="77"/>
      <c r="D191" s="161"/>
      <c r="E191" s="136"/>
      <c r="F191" s="60"/>
      <c r="G191" s="62"/>
      <c r="H191" s="63"/>
      <c r="I191" s="138"/>
      <c r="J191" s="79"/>
      <c r="K191" s="80"/>
      <c r="L191" s="66"/>
      <c r="M191" s="81"/>
      <c r="N191" s="167"/>
      <c r="O191" s="87"/>
      <c r="P191" s="151"/>
      <c r="Q191" s="143"/>
      <c r="R191" s="74"/>
      <c r="S191" s="158"/>
      <c r="T191" s="146">
        <f t="shared" si="10"/>
        <v>0</v>
      </c>
      <c r="U191" s="146">
        <f t="shared" si="22"/>
        <v>0</v>
      </c>
      <c r="V191" s="147"/>
      <c r="W191" s="74" t="b">
        <v>0</v>
      </c>
      <c r="X191" s="74" t="b">
        <v>0</v>
      </c>
      <c r="Y191" s="74" t="b">
        <v>0</v>
      </c>
      <c r="Z191" s="148" t="str">
        <f>IFERROR(__xludf.DUMMYFUNCTION("""COMPUTED_VALUE"""),"")</f>
        <v/>
      </c>
      <c r="AA191" s="148" t="str">
        <f>IFERROR(__xludf.DUMMYFUNCTION("""COMPUTED_VALUE"""),"")</f>
        <v/>
      </c>
      <c r="AB191" s="148" t="str">
        <f>IFERROR(__xludf.DUMMYFUNCTION("""COMPUTED_VALUE"""),"")</f>
        <v/>
      </c>
      <c r="AC191" s="153"/>
      <c r="AD191" s="148"/>
      <c r="AE191" s="47"/>
      <c r="AF191" s="148" t="s">
        <v>613</v>
      </c>
      <c r="AG191" s="148"/>
      <c r="AH191" s="148"/>
      <c r="AI191" s="148" t="s">
        <v>614</v>
      </c>
      <c r="AJ191" s="148" t="s">
        <v>614</v>
      </c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</row>
    <row r="192" ht="14.25" customHeight="1">
      <c r="A192" s="134"/>
      <c r="B192" s="135"/>
      <c r="C192" s="77"/>
      <c r="D192" s="161"/>
      <c r="E192" s="136"/>
      <c r="F192" s="60"/>
      <c r="G192" s="62"/>
      <c r="H192" s="63"/>
      <c r="I192" s="138"/>
      <c r="J192" s="79"/>
      <c r="K192" s="80"/>
      <c r="L192" s="66"/>
      <c r="M192" s="81"/>
      <c r="N192" s="167"/>
      <c r="O192" s="87"/>
      <c r="P192" s="151"/>
      <c r="Q192" s="143"/>
      <c r="R192" s="74"/>
      <c r="S192" s="158"/>
      <c r="T192" s="146">
        <f t="shared" si="10"/>
        <v>0</v>
      </c>
      <c r="U192" s="146">
        <f t="shared" si="22"/>
        <v>0</v>
      </c>
      <c r="V192" s="147"/>
      <c r="W192" s="74" t="b">
        <v>0</v>
      </c>
      <c r="X192" s="74" t="b">
        <v>0</v>
      </c>
      <c r="Y192" s="74" t="b">
        <v>0</v>
      </c>
      <c r="Z192" s="148" t="str">
        <f>IFERROR(__xludf.DUMMYFUNCTION("""COMPUTED_VALUE"""),"")</f>
        <v/>
      </c>
      <c r="AA192" s="148" t="str">
        <f>IFERROR(__xludf.DUMMYFUNCTION("""COMPUTED_VALUE"""),"")</f>
        <v/>
      </c>
      <c r="AB192" s="148" t="str">
        <f>IFERROR(__xludf.DUMMYFUNCTION("""COMPUTED_VALUE"""),"")</f>
        <v/>
      </c>
      <c r="AC192" s="153"/>
      <c r="AD192" s="148"/>
      <c r="AE192" s="47"/>
      <c r="AF192" s="148" t="s">
        <v>613</v>
      </c>
      <c r="AG192" s="148"/>
      <c r="AH192" s="148"/>
      <c r="AI192" s="148" t="s">
        <v>614</v>
      </c>
      <c r="AJ192" s="148" t="s">
        <v>614</v>
      </c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</row>
    <row r="193" ht="14.25" customHeight="1">
      <c r="A193" s="134"/>
      <c r="B193" s="135"/>
      <c r="C193" s="77"/>
      <c r="D193" s="161"/>
      <c r="E193" s="136"/>
      <c r="F193" s="60"/>
      <c r="G193" s="62"/>
      <c r="H193" s="63"/>
      <c r="I193" s="138"/>
      <c r="J193" s="79"/>
      <c r="K193" s="80"/>
      <c r="L193" s="66"/>
      <c r="M193" s="81"/>
      <c r="N193" s="167"/>
      <c r="O193" s="87"/>
      <c r="P193" s="151"/>
      <c r="Q193" s="143"/>
      <c r="R193" s="74"/>
      <c r="S193" s="158"/>
      <c r="T193" s="146">
        <f t="shared" si="10"/>
        <v>0</v>
      </c>
      <c r="U193" s="146">
        <f t="shared" si="22"/>
        <v>0</v>
      </c>
      <c r="V193" s="147"/>
      <c r="W193" s="74" t="b">
        <v>0</v>
      </c>
      <c r="X193" s="74" t="b">
        <v>0</v>
      </c>
      <c r="Y193" s="74" t="b">
        <v>0</v>
      </c>
      <c r="Z193" s="148" t="str">
        <f>IFERROR(__xludf.DUMMYFUNCTION("""COMPUTED_VALUE"""),"")</f>
        <v/>
      </c>
      <c r="AA193" s="148" t="str">
        <f>IFERROR(__xludf.DUMMYFUNCTION("""COMPUTED_VALUE"""),"")</f>
        <v/>
      </c>
      <c r="AB193" s="148" t="str">
        <f>IFERROR(__xludf.DUMMYFUNCTION("""COMPUTED_VALUE"""),"")</f>
        <v/>
      </c>
      <c r="AC193" s="153"/>
      <c r="AD193" s="148"/>
      <c r="AE193" s="47"/>
      <c r="AF193" s="148" t="s">
        <v>613</v>
      </c>
      <c r="AG193" s="148"/>
      <c r="AH193" s="148"/>
      <c r="AI193" s="148" t="s">
        <v>614</v>
      </c>
      <c r="AJ193" s="148" t="s">
        <v>614</v>
      </c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</row>
    <row r="194" ht="14.25" customHeight="1">
      <c r="A194" s="134"/>
      <c r="B194" s="135"/>
      <c r="C194" s="77"/>
      <c r="D194" s="161"/>
      <c r="E194" s="136"/>
      <c r="F194" s="60"/>
      <c r="G194" s="62"/>
      <c r="H194" s="63"/>
      <c r="I194" s="138"/>
      <c r="J194" s="79"/>
      <c r="K194" s="80"/>
      <c r="L194" s="66"/>
      <c r="M194" s="81"/>
      <c r="N194" s="167"/>
      <c r="O194" s="87"/>
      <c r="P194" s="151"/>
      <c r="Q194" s="143"/>
      <c r="R194" s="74"/>
      <c r="S194" s="158"/>
      <c r="T194" s="146">
        <f t="shared" si="10"/>
        <v>0</v>
      </c>
      <c r="U194" s="146">
        <f t="shared" si="22"/>
        <v>0</v>
      </c>
      <c r="V194" s="147"/>
      <c r="W194" s="74" t="b">
        <v>0</v>
      </c>
      <c r="X194" s="74" t="b">
        <v>0</v>
      </c>
      <c r="Y194" s="74" t="b">
        <v>0</v>
      </c>
      <c r="Z194" s="148" t="str">
        <f>IFERROR(__xludf.DUMMYFUNCTION("""COMPUTED_VALUE"""),"")</f>
        <v/>
      </c>
      <c r="AA194" s="148" t="str">
        <f>IFERROR(__xludf.DUMMYFUNCTION("""COMPUTED_VALUE"""),"")</f>
        <v/>
      </c>
      <c r="AB194" s="148" t="str">
        <f>IFERROR(__xludf.DUMMYFUNCTION("""COMPUTED_VALUE"""),"")</f>
        <v/>
      </c>
      <c r="AC194" s="153"/>
      <c r="AD194" s="148"/>
      <c r="AE194" s="47"/>
      <c r="AF194" s="148" t="s">
        <v>613</v>
      </c>
      <c r="AG194" s="148"/>
      <c r="AH194" s="148"/>
      <c r="AI194" s="148" t="s">
        <v>614</v>
      </c>
      <c r="AJ194" s="148" t="s">
        <v>614</v>
      </c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</row>
    <row r="195" ht="14.25" customHeight="1">
      <c r="A195" s="134"/>
      <c r="B195" s="135"/>
      <c r="C195" s="77"/>
      <c r="D195" s="161"/>
      <c r="E195" s="136"/>
      <c r="F195" s="60"/>
      <c r="G195" s="62"/>
      <c r="H195" s="63"/>
      <c r="I195" s="138"/>
      <c r="J195" s="79"/>
      <c r="K195" s="80"/>
      <c r="L195" s="66"/>
      <c r="M195" s="81"/>
      <c r="N195" s="167"/>
      <c r="O195" s="87"/>
      <c r="P195" s="151"/>
      <c r="Q195" s="143"/>
      <c r="R195" s="74"/>
      <c r="S195" s="158"/>
      <c r="T195" s="146">
        <f t="shared" si="10"/>
        <v>0</v>
      </c>
      <c r="U195" s="146">
        <f t="shared" si="22"/>
        <v>0</v>
      </c>
      <c r="V195" s="147"/>
      <c r="W195" s="74" t="b">
        <v>0</v>
      </c>
      <c r="X195" s="74" t="b">
        <v>0</v>
      </c>
      <c r="Y195" s="74" t="b">
        <v>0</v>
      </c>
      <c r="Z195" s="148" t="str">
        <f>IFERROR(__xludf.DUMMYFUNCTION("""COMPUTED_VALUE"""),"")</f>
        <v/>
      </c>
      <c r="AA195" s="148" t="str">
        <f>IFERROR(__xludf.DUMMYFUNCTION("""COMPUTED_VALUE"""),"")</f>
        <v/>
      </c>
      <c r="AB195" s="148" t="str">
        <f>IFERROR(__xludf.DUMMYFUNCTION("""COMPUTED_VALUE"""),"")</f>
        <v/>
      </c>
      <c r="AC195" s="153"/>
      <c r="AD195" s="148"/>
      <c r="AE195" s="47"/>
      <c r="AF195" s="148" t="s">
        <v>613</v>
      </c>
      <c r="AG195" s="148"/>
      <c r="AH195" s="148"/>
      <c r="AI195" s="148" t="s">
        <v>614</v>
      </c>
      <c r="AJ195" s="148" t="s">
        <v>614</v>
      </c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</row>
    <row r="196" ht="14.25" customHeight="1">
      <c r="A196" s="134"/>
      <c r="B196" s="135"/>
      <c r="C196" s="77"/>
      <c r="D196" s="161"/>
      <c r="E196" s="136"/>
      <c r="F196" s="60"/>
      <c r="G196" s="62"/>
      <c r="H196" s="63"/>
      <c r="I196" s="138"/>
      <c r="J196" s="79"/>
      <c r="K196" s="80"/>
      <c r="L196" s="66"/>
      <c r="M196" s="81"/>
      <c r="N196" s="167"/>
      <c r="O196" s="87"/>
      <c r="P196" s="151"/>
      <c r="Q196" s="143"/>
      <c r="R196" s="74"/>
      <c r="S196" s="158"/>
      <c r="T196" s="146">
        <f t="shared" si="10"/>
        <v>0</v>
      </c>
      <c r="U196" s="146">
        <f t="shared" si="22"/>
        <v>0</v>
      </c>
      <c r="V196" s="147"/>
      <c r="W196" s="74" t="b">
        <v>0</v>
      </c>
      <c r="X196" s="74" t="b">
        <v>0</v>
      </c>
      <c r="Y196" s="74" t="b">
        <v>0</v>
      </c>
      <c r="Z196" s="148" t="str">
        <f>IFERROR(__xludf.DUMMYFUNCTION("""COMPUTED_VALUE"""),"")</f>
        <v/>
      </c>
      <c r="AA196" s="148" t="str">
        <f>IFERROR(__xludf.DUMMYFUNCTION("""COMPUTED_VALUE"""),"")</f>
        <v/>
      </c>
      <c r="AB196" s="148" t="str">
        <f>IFERROR(__xludf.DUMMYFUNCTION("""COMPUTED_VALUE"""),"")</f>
        <v/>
      </c>
      <c r="AC196" s="153"/>
      <c r="AD196" s="148"/>
      <c r="AE196" s="47"/>
      <c r="AF196" s="148" t="s">
        <v>613</v>
      </c>
      <c r="AG196" s="148"/>
      <c r="AH196" s="148"/>
      <c r="AI196" s="148" t="s">
        <v>614</v>
      </c>
      <c r="AJ196" s="148" t="s">
        <v>614</v>
      </c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</row>
    <row r="197" ht="14.25" customHeight="1">
      <c r="A197" s="134"/>
      <c r="B197" s="135"/>
      <c r="C197" s="77"/>
      <c r="D197" s="161"/>
      <c r="E197" s="136"/>
      <c r="F197" s="60"/>
      <c r="G197" s="62"/>
      <c r="H197" s="63"/>
      <c r="I197" s="138"/>
      <c r="J197" s="79"/>
      <c r="K197" s="80"/>
      <c r="L197" s="66"/>
      <c r="M197" s="81"/>
      <c r="N197" s="167"/>
      <c r="O197" s="87"/>
      <c r="P197" s="151"/>
      <c r="Q197" s="143"/>
      <c r="R197" s="74"/>
      <c r="S197" s="158"/>
      <c r="T197" s="146">
        <f t="shared" si="10"/>
        <v>0</v>
      </c>
      <c r="U197" s="146">
        <f t="shared" si="22"/>
        <v>0</v>
      </c>
      <c r="V197" s="147"/>
      <c r="W197" s="74" t="b">
        <v>0</v>
      </c>
      <c r="X197" s="74" t="b">
        <v>0</v>
      </c>
      <c r="Y197" s="74" t="b">
        <v>0</v>
      </c>
      <c r="Z197" s="148" t="str">
        <f>IFERROR(__xludf.DUMMYFUNCTION("""COMPUTED_VALUE"""),"")</f>
        <v/>
      </c>
      <c r="AA197" s="148" t="str">
        <f>IFERROR(__xludf.DUMMYFUNCTION("""COMPUTED_VALUE"""),"")</f>
        <v/>
      </c>
      <c r="AB197" s="148" t="str">
        <f>IFERROR(__xludf.DUMMYFUNCTION("""COMPUTED_VALUE"""),"")</f>
        <v/>
      </c>
      <c r="AC197" s="153"/>
      <c r="AD197" s="148"/>
      <c r="AE197" s="47"/>
      <c r="AF197" s="148" t="s">
        <v>613</v>
      </c>
      <c r="AG197" s="148"/>
      <c r="AH197" s="148"/>
      <c r="AI197" s="148" t="s">
        <v>614</v>
      </c>
      <c r="AJ197" s="148" t="s">
        <v>614</v>
      </c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</row>
    <row r="198" ht="14.25" customHeight="1">
      <c r="A198" s="134"/>
      <c r="B198" s="135"/>
      <c r="C198" s="77"/>
      <c r="D198" s="161"/>
      <c r="E198" s="136"/>
      <c r="F198" s="60"/>
      <c r="G198" s="62"/>
      <c r="H198" s="63"/>
      <c r="I198" s="138"/>
      <c r="J198" s="79"/>
      <c r="K198" s="80"/>
      <c r="L198" s="66"/>
      <c r="M198" s="81"/>
      <c r="N198" s="167"/>
      <c r="O198" s="87"/>
      <c r="P198" s="151"/>
      <c r="Q198" s="143"/>
      <c r="R198" s="74"/>
      <c r="S198" s="158"/>
      <c r="T198" s="146">
        <f t="shared" si="10"/>
        <v>0</v>
      </c>
      <c r="U198" s="146">
        <f t="shared" si="22"/>
        <v>0</v>
      </c>
      <c r="V198" s="147"/>
      <c r="W198" s="74" t="b">
        <v>0</v>
      </c>
      <c r="X198" s="74" t="b">
        <v>0</v>
      </c>
      <c r="Y198" s="74" t="b">
        <v>0</v>
      </c>
      <c r="Z198" s="148" t="str">
        <f>IFERROR(__xludf.DUMMYFUNCTION("""COMPUTED_VALUE"""),"")</f>
        <v/>
      </c>
      <c r="AA198" s="148" t="str">
        <f>IFERROR(__xludf.DUMMYFUNCTION("""COMPUTED_VALUE"""),"")</f>
        <v/>
      </c>
      <c r="AB198" s="148" t="str">
        <f>IFERROR(__xludf.DUMMYFUNCTION("""COMPUTED_VALUE"""),"")</f>
        <v/>
      </c>
      <c r="AC198" s="153"/>
      <c r="AD198" s="148"/>
      <c r="AE198" s="47"/>
      <c r="AF198" s="148" t="s">
        <v>613</v>
      </c>
      <c r="AG198" s="148"/>
      <c r="AH198" s="148"/>
      <c r="AI198" s="148" t="s">
        <v>614</v>
      </c>
      <c r="AJ198" s="148" t="s">
        <v>614</v>
      </c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</row>
    <row r="199" ht="14.25" customHeight="1">
      <c r="A199" s="134"/>
      <c r="B199" s="135"/>
      <c r="C199" s="77"/>
      <c r="D199" s="161"/>
      <c r="E199" s="136"/>
      <c r="F199" s="60"/>
      <c r="G199" s="62"/>
      <c r="H199" s="63"/>
      <c r="I199" s="138"/>
      <c r="J199" s="79"/>
      <c r="K199" s="80"/>
      <c r="L199" s="66"/>
      <c r="M199" s="81"/>
      <c r="N199" s="167"/>
      <c r="O199" s="87"/>
      <c r="P199" s="151"/>
      <c r="Q199" s="143"/>
      <c r="R199" s="74"/>
      <c r="S199" s="158"/>
      <c r="T199" s="146">
        <f t="shared" si="10"/>
        <v>0</v>
      </c>
      <c r="U199" s="146">
        <f t="shared" si="22"/>
        <v>0</v>
      </c>
      <c r="V199" s="147"/>
      <c r="W199" s="74" t="b">
        <v>0</v>
      </c>
      <c r="X199" s="74" t="b">
        <v>0</v>
      </c>
      <c r="Y199" s="74" t="b">
        <v>0</v>
      </c>
      <c r="Z199" s="148" t="str">
        <f>IFERROR(__xludf.DUMMYFUNCTION("""COMPUTED_VALUE"""),"")</f>
        <v/>
      </c>
      <c r="AA199" s="148" t="str">
        <f>IFERROR(__xludf.DUMMYFUNCTION("""COMPUTED_VALUE"""),"")</f>
        <v/>
      </c>
      <c r="AB199" s="148" t="str">
        <f>IFERROR(__xludf.DUMMYFUNCTION("""COMPUTED_VALUE"""),"")</f>
        <v/>
      </c>
      <c r="AC199" s="153"/>
      <c r="AD199" s="148"/>
      <c r="AE199" s="47"/>
      <c r="AF199" s="148" t="s">
        <v>613</v>
      </c>
      <c r="AG199" s="148"/>
      <c r="AH199" s="148"/>
      <c r="AI199" s="148" t="s">
        <v>614</v>
      </c>
      <c r="AJ199" s="148" t="s">
        <v>614</v>
      </c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</row>
    <row r="200" ht="14.25" customHeight="1">
      <c r="A200" s="134"/>
      <c r="B200" s="135"/>
      <c r="C200" s="77"/>
      <c r="D200" s="161"/>
      <c r="E200" s="136"/>
      <c r="F200" s="60"/>
      <c r="G200" s="62"/>
      <c r="H200" s="154"/>
      <c r="I200" s="138"/>
      <c r="J200" s="79"/>
      <c r="K200" s="80"/>
      <c r="L200" s="66"/>
      <c r="M200" s="81"/>
      <c r="N200" s="167"/>
      <c r="O200" s="87"/>
      <c r="P200" s="151"/>
      <c r="Q200" s="143"/>
      <c r="R200" s="74"/>
      <c r="S200" s="158"/>
      <c r="T200" s="146">
        <f t="shared" si="10"/>
        <v>0</v>
      </c>
      <c r="U200" s="146">
        <f t="shared" ref="U200:U207" si="23">round((O200*119)+(550*N200),-1)</f>
        <v>0</v>
      </c>
      <c r="V200" s="147"/>
      <c r="W200" s="74" t="b">
        <v>0</v>
      </c>
      <c r="X200" s="74" t="b">
        <v>0</v>
      </c>
      <c r="Y200" s="74" t="b">
        <v>0</v>
      </c>
      <c r="Z200" s="148" t="str">
        <f>IFERROR(__xludf.DUMMYFUNCTION("""COMPUTED_VALUE"""),"")</f>
        <v/>
      </c>
      <c r="AA200" s="148" t="str">
        <f>IFERROR(__xludf.DUMMYFUNCTION("""COMPUTED_VALUE"""),"")</f>
        <v/>
      </c>
      <c r="AB200" s="148" t="str">
        <f>IFERROR(__xludf.DUMMYFUNCTION("""COMPUTED_VALUE"""),"")</f>
        <v/>
      </c>
      <c r="AC200" s="153"/>
      <c r="AD200" s="148"/>
      <c r="AE200" s="47"/>
      <c r="AF200" s="148" t="s">
        <v>613</v>
      </c>
      <c r="AG200" s="148"/>
      <c r="AH200" s="148"/>
      <c r="AI200" s="148" t="s">
        <v>614</v>
      </c>
      <c r="AJ200" s="148" t="s">
        <v>614</v>
      </c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</row>
    <row r="201" ht="14.25" customHeight="1">
      <c r="A201" s="134"/>
      <c r="B201" s="135"/>
      <c r="C201" s="77"/>
      <c r="D201" s="161"/>
      <c r="E201" s="136"/>
      <c r="F201" s="60"/>
      <c r="G201" s="62"/>
      <c r="H201" s="154"/>
      <c r="I201" s="138"/>
      <c r="J201" s="79"/>
      <c r="K201" s="80"/>
      <c r="L201" s="66"/>
      <c r="M201" s="81"/>
      <c r="N201" s="167"/>
      <c r="O201" s="87"/>
      <c r="P201" s="151"/>
      <c r="Q201" s="143"/>
      <c r="R201" s="74"/>
      <c r="S201" s="158"/>
      <c r="T201" s="146">
        <f t="shared" si="10"/>
        <v>0</v>
      </c>
      <c r="U201" s="146">
        <f t="shared" si="23"/>
        <v>0</v>
      </c>
      <c r="V201" s="147"/>
      <c r="W201" s="74" t="b">
        <v>0</v>
      </c>
      <c r="X201" s="74" t="b">
        <v>0</v>
      </c>
      <c r="Y201" s="74" t="b">
        <v>0</v>
      </c>
      <c r="Z201" s="148" t="str">
        <f>IFERROR(__xludf.DUMMYFUNCTION("""COMPUTED_VALUE"""),"")</f>
        <v/>
      </c>
      <c r="AA201" s="148" t="str">
        <f>IFERROR(__xludf.DUMMYFUNCTION("""COMPUTED_VALUE"""),"")</f>
        <v/>
      </c>
      <c r="AB201" s="148" t="str">
        <f>IFERROR(__xludf.DUMMYFUNCTION("""COMPUTED_VALUE"""),"")</f>
        <v/>
      </c>
      <c r="AC201" s="153"/>
      <c r="AD201" s="148"/>
      <c r="AE201" s="47"/>
      <c r="AF201" s="148" t="s">
        <v>613</v>
      </c>
      <c r="AG201" s="148"/>
      <c r="AH201" s="148"/>
      <c r="AI201" s="148" t="s">
        <v>614</v>
      </c>
      <c r="AJ201" s="148" t="s">
        <v>614</v>
      </c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</row>
    <row r="202" ht="14.25" customHeight="1">
      <c r="A202" s="134"/>
      <c r="B202" s="135"/>
      <c r="C202" s="77"/>
      <c r="D202" s="161"/>
      <c r="E202" s="136"/>
      <c r="F202" s="60"/>
      <c r="G202" s="62"/>
      <c r="H202" s="154"/>
      <c r="I202" s="138"/>
      <c r="J202" s="79"/>
      <c r="K202" s="80"/>
      <c r="L202" s="66"/>
      <c r="M202" s="81"/>
      <c r="N202" s="167"/>
      <c r="O202" s="87"/>
      <c r="P202" s="151"/>
      <c r="Q202" s="143"/>
      <c r="R202" s="74"/>
      <c r="S202" s="158"/>
      <c r="T202" s="146">
        <f t="shared" si="10"/>
        <v>0</v>
      </c>
      <c r="U202" s="146">
        <f t="shared" si="23"/>
        <v>0</v>
      </c>
      <c r="V202" s="147"/>
      <c r="W202" s="74" t="b">
        <v>0</v>
      </c>
      <c r="X202" s="74" t="b">
        <v>0</v>
      </c>
      <c r="Y202" s="74" t="b">
        <v>0</v>
      </c>
      <c r="Z202" s="148" t="str">
        <f>IFERROR(__xludf.DUMMYFUNCTION("""COMPUTED_VALUE"""),"")</f>
        <v/>
      </c>
      <c r="AA202" s="148" t="str">
        <f>IFERROR(__xludf.DUMMYFUNCTION("""COMPUTED_VALUE"""),"")</f>
        <v/>
      </c>
      <c r="AB202" s="148" t="str">
        <f>IFERROR(__xludf.DUMMYFUNCTION("""COMPUTED_VALUE"""),"")</f>
        <v/>
      </c>
      <c r="AC202" s="153"/>
      <c r="AD202" s="148"/>
      <c r="AE202" s="47"/>
      <c r="AF202" s="148" t="s">
        <v>613</v>
      </c>
      <c r="AG202" s="148"/>
      <c r="AH202" s="148"/>
      <c r="AI202" s="148" t="s">
        <v>614</v>
      </c>
      <c r="AJ202" s="148" t="s">
        <v>614</v>
      </c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</row>
    <row r="203" ht="14.25" customHeight="1">
      <c r="A203" s="134"/>
      <c r="B203" s="135"/>
      <c r="C203" s="77"/>
      <c r="D203" s="161"/>
      <c r="E203" s="136"/>
      <c r="F203" s="60"/>
      <c r="G203" s="62"/>
      <c r="H203" s="154"/>
      <c r="I203" s="138"/>
      <c r="J203" s="79"/>
      <c r="K203" s="80"/>
      <c r="L203" s="66"/>
      <c r="M203" s="81"/>
      <c r="N203" s="167"/>
      <c r="O203" s="87"/>
      <c r="P203" s="151"/>
      <c r="Q203" s="143"/>
      <c r="R203" s="74"/>
      <c r="S203" s="158"/>
      <c r="T203" s="146">
        <f t="shared" si="10"/>
        <v>0</v>
      </c>
      <c r="U203" s="146">
        <f t="shared" si="23"/>
        <v>0</v>
      </c>
      <c r="V203" s="147"/>
      <c r="W203" s="74" t="b">
        <v>0</v>
      </c>
      <c r="X203" s="74" t="b">
        <v>0</v>
      </c>
      <c r="Y203" s="74" t="b">
        <v>0</v>
      </c>
      <c r="Z203" s="148" t="str">
        <f>IFERROR(__xludf.DUMMYFUNCTION("""COMPUTED_VALUE"""),"")</f>
        <v/>
      </c>
      <c r="AA203" s="148" t="str">
        <f>IFERROR(__xludf.DUMMYFUNCTION("""COMPUTED_VALUE"""),"")</f>
        <v/>
      </c>
      <c r="AB203" s="148" t="str">
        <f>IFERROR(__xludf.DUMMYFUNCTION("""COMPUTED_VALUE"""),"")</f>
        <v/>
      </c>
      <c r="AC203" s="153"/>
      <c r="AD203" s="148"/>
      <c r="AE203" s="47"/>
      <c r="AF203" s="148" t="s">
        <v>613</v>
      </c>
      <c r="AG203" s="148"/>
      <c r="AH203" s="148"/>
      <c r="AI203" s="148" t="s">
        <v>614</v>
      </c>
      <c r="AJ203" s="148" t="s">
        <v>614</v>
      </c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</row>
    <row r="204" ht="14.25" customHeight="1">
      <c r="A204" s="134"/>
      <c r="B204" s="135"/>
      <c r="C204" s="77"/>
      <c r="D204" s="161"/>
      <c r="E204" s="136"/>
      <c r="F204" s="60"/>
      <c r="G204" s="62"/>
      <c r="H204" s="154"/>
      <c r="I204" s="138"/>
      <c r="J204" s="79"/>
      <c r="K204" s="80"/>
      <c r="L204" s="66"/>
      <c r="M204" s="81"/>
      <c r="N204" s="167"/>
      <c r="O204" s="87"/>
      <c r="P204" s="151"/>
      <c r="Q204" s="143"/>
      <c r="R204" s="74"/>
      <c r="S204" s="158"/>
      <c r="T204" s="146">
        <f t="shared" si="10"/>
        <v>0</v>
      </c>
      <c r="U204" s="146">
        <f t="shared" si="23"/>
        <v>0</v>
      </c>
      <c r="V204" s="147"/>
      <c r="W204" s="74" t="b">
        <v>0</v>
      </c>
      <c r="X204" s="74" t="b">
        <v>0</v>
      </c>
      <c r="Y204" s="74" t="b">
        <v>0</v>
      </c>
      <c r="Z204" s="148" t="str">
        <f>IFERROR(__xludf.DUMMYFUNCTION("""COMPUTED_VALUE"""),"")</f>
        <v/>
      </c>
      <c r="AA204" s="148" t="str">
        <f>IFERROR(__xludf.DUMMYFUNCTION("""COMPUTED_VALUE"""),"")</f>
        <v/>
      </c>
      <c r="AB204" s="148" t="str">
        <f>IFERROR(__xludf.DUMMYFUNCTION("""COMPUTED_VALUE"""),"")</f>
        <v/>
      </c>
      <c r="AC204" s="153"/>
      <c r="AD204" s="148"/>
      <c r="AE204" s="47"/>
      <c r="AF204" s="148" t="s">
        <v>613</v>
      </c>
      <c r="AG204" s="148"/>
      <c r="AH204" s="148"/>
      <c r="AI204" s="148" t="s">
        <v>614</v>
      </c>
      <c r="AJ204" s="148" t="s">
        <v>614</v>
      </c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</row>
    <row r="205" ht="14.25" customHeight="1">
      <c r="A205" s="134"/>
      <c r="B205" s="135"/>
      <c r="C205" s="77"/>
      <c r="D205" s="161"/>
      <c r="E205" s="136"/>
      <c r="F205" s="60"/>
      <c r="G205" s="62"/>
      <c r="H205" s="154"/>
      <c r="I205" s="138"/>
      <c r="J205" s="79"/>
      <c r="K205" s="80"/>
      <c r="L205" s="66"/>
      <c r="M205" s="81"/>
      <c r="N205" s="167"/>
      <c r="O205" s="87"/>
      <c r="P205" s="151"/>
      <c r="Q205" s="143"/>
      <c r="R205" s="74"/>
      <c r="S205" s="158"/>
      <c r="T205" s="146">
        <f t="shared" si="10"/>
        <v>0</v>
      </c>
      <c r="U205" s="146">
        <f t="shared" si="23"/>
        <v>0</v>
      </c>
      <c r="V205" s="147"/>
      <c r="W205" s="74" t="b">
        <v>0</v>
      </c>
      <c r="X205" s="74" t="b">
        <v>0</v>
      </c>
      <c r="Y205" s="74" t="b">
        <v>0</v>
      </c>
      <c r="Z205" s="148" t="str">
        <f>IFERROR(__xludf.DUMMYFUNCTION("""COMPUTED_VALUE"""),"")</f>
        <v/>
      </c>
      <c r="AA205" s="148" t="str">
        <f>IFERROR(__xludf.DUMMYFUNCTION("""COMPUTED_VALUE"""),"")</f>
        <v/>
      </c>
      <c r="AB205" s="148" t="str">
        <f>IFERROR(__xludf.DUMMYFUNCTION("""COMPUTED_VALUE"""),"")</f>
        <v/>
      </c>
      <c r="AC205" s="153"/>
      <c r="AD205" s="148"/>
      <c r="AE205" s="47"/>
      <c r="AF205" s="148" t="s">
        <v>613</v>
      </c>
      <c r="AG205" s="148"/>
      <c r="AH205" s="148"/>
      <c r="AI205" s="148" t="s">
        <v>614</v>
      </c>
      <c r="AJ205" s="148" t="s">
        <v>614</v>
      </c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</row>
    <row r="206" ht="14.25" customHeight="1">
      <c r="A206" s="134"/>
      <c r="B206" s="135"/>
      <c r="C206" s="77"/>
      <c r="D206" s="161"/>
      <c r="E206" s="136"/>
      <c r="F206" s="60"/>
      <c r="G206" s="62"/>
      <c r="H206" s="154"/>
      <c r="I206" s="138"/>
      <c r="J206" s="79"/>
      <c r="K206" s="80"/>
      <c r="L206" s="66"/>
      <c r="M206" s="81"/>
      <c r="N206" s="167"/>
      <c r="O206" s="87"/>
      <c r="P206" s="151"/>
      <c r="Q206" s="143"/>
      <c r="R206" s="74"/>
      <c r="S206" s="158"/>
      <c r="T206" s="146">
        <f t="shared" si="10"/>
        <v>0</v>
      </c>
      <c r="U206" s="146">
        <f t="shared" si="23"/>
        <v>0</v>
      </c>
      <c r="V206" s="147"/>
      <c r="W206" s="74" t="b">
        <v>0</v>
      </c>
      <c r="X206" s="74" t="b">
        <v>0</v>
      </c>
      <c r="Y206" s="74" t="b">
        <v>0</v>
      </c>
      <c r="Z206" s="148" t="str">
        <f>IFERROR(__xludf.DUMMYFUNCTION("""COMPUTED_VALUE"""),"")</f>
        <v/>
      </c>
      <c r="AA206" s="148" t="str">
        <f>IFERROR(__xludf.DUMMYFUNCTION("""COMPUTED_VALUE"""),"")</f>
        <v/>
      </c>
      <c r="AB206" s="148" t="str">
        <f>IFERROR(__xludf.DUMMYFUNCTION("""COMPUTED_VALUE"""),"")</f>
        <v/>
      </c>
      <c r="AC206" s="153"/>
      <c r="AD206" s="148"/>
      <c r="AE206" s="47"/>
      <c r="AF206" s="148" t="s">
        <v>613</v>
      </c>
      <c r="AG206" s="148"/>
      <c r="AH206" s="148"/>
      <c r="AI206" s="148" t="s">
        <v>614</v>
      </c>
      <c r="AJ206" s="148" t="s">
        <v>614</v>
      </c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</row>
    <row r="207" ht="14.25" customHeight="1">
      <c r="A207" s="134"/>
      <c r="B207" s="135"/>
      <c r="C207" s="77"/>
      <c r="D207" s="161"/>
      <c r="E207" s="136"/>
      <c r="F207" s="60"/>
      <c r="G207" s="62"/>
      <c r="H207" s="154"/>
      <c r="I207" s="138"/>
      <c r="J207" s="79"/>
      <c r="K207" s="80"/>
      <c r="L207" s="66"/>
      <c r="M207" s="81"/>
      <c r="N207" s="167"/>
      <c r="O207" s="87"/>
      <c r="P207" s="151"/>
      <c r="Q207" s="143"/>
      <c r="R207" s="74"/>
      <c r="S207" s="158"/>
      <c r="T207" s="146">
        <f t="shared" si="10"/>
        <v>0</v>
      </c>
      <c r="U207" s="146">
        <f t="shared" si="23"/>
        <v>0</v>
      </c>
      <c r="V207" s="147"/>
      <c r="W207" s="74" t="b">
        <v>0</v>
      </c>
      <c r="X207" s="74" t="b">
        <v>0</v>
      </c>
      <c r="Y207" s="74" t="b">
        <v>0</v>
      </c>
      <c r="Z207" s="148" t="str">
        <f>IFERROR(__xludf.DUMMYFUNCTION("""COMPUTED_VALUE"""),"")</f>
        <v/>
      </c>
      <c r="AA207" s="148" t="str">
        <f>IFERROR(__xludf.DUMMYFUNCTION("""COMPUTED_VALUE"""),"")</f>
        <v/>
      </c>
      <c r="AB207" s="148" t="str">
        <f>IFERROR(__xludf.DUMMYFUNCTION("""COMPUTED_VALUE"""),"")</f>
        <v/>
      </c>
      <c r="AC207" s="153"/>
      <c r="AD207" s="148"/>
      <c r="AE207" s="47"/>
      <c r="AF207" s="148" t="s">
        <v>613</v>
      </c>
      <c r="AG207" s="148"/>
      <c r="AH207" s="148"/>
      <c r="AI207" s="148" t="s">
        <v>614</v>
      </c>
      <c r="AJ207" s="148" t="s">
        <v>614</v>
      </c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</row>
    <row r="208" ht="14.25" customHeight="1">
      <c r="A208" s="134"/>
      <c r="B208" s="135"/>
      <c r="C208" s="77"/>
      <c r="D208" s="161"/>
      <c r="E208" s="136"/>
      <c r="F208" s="60"/>
      <c r="G208" s="62"/>
      <c r="H208" s="154"/>
      <c r="I208" s="138"/>
      <c r="J208" s="79"/>
      <c r="K208" s="80"/>
      <c r="L208" s="66"/>
      <c r="M208" s="81"/>
      <c r="N208" s="167"/>
      <c r="O208" s="87"/>
      <c r="P208" s="151"/>
      <c r="Q208" s="143"/>
      <c r="R208" s="74"/>
      <c r="S208" s="158"/>
      <c r="T208" s="146">
        <f t="shared" si="10"/>
        <v>0</v>
      </c>
      <c r="U208" s="146">
        <f>round((O208*69)+(550*N208),-1)</f>
        <v>0</v>
      </c>
      <c r="V208" s="147"/>
      <c r="W208" s="74" t="b">
        <v>0</v>
      </c>
      <c r="X208" s="74" t="b">
        <v>0</v>
      </c>
      <c r="Y208" s="74" t="b">
        <v>0</v>
      </c>
      <c r="Z208" s="148" t="str">
        <f>IFERROR(__xludf.DUMMYFUNCTION("""COMPUTED_VALUE"""),"")</f>
        <v/>
      </c>
      <c r="AA208" s="148" t="str">
        <f>IFERROR(__xludf.DUMMYFUNCTION("""COMPUTED_VALUE"""),"")</f>
        <v/>
      </c>
      <c r="AB208" s="148" t="str">
        <f>IFERROR(__xludf.DUMMYFUNCTION("""COMPUTED_VALUE"""),"")</f>
        <v/>
      </c>
      <c r="AC208" s="153"/>
      <c r="AD208" s="148"/>
      <c r="AE208" s="47"/>
      <c r="AF208" s="148" t="s">
        <v>613</v>
      </c>
      <c r="AG208" s="148"/>
      <c r="AH208" s="148"/>
      <c r="AI208" s="148" t="s">
        <v>614</v>
      </c>
      <c r="AJ208" s="148" t="s">
        <v>614</v>
      </c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</row>
    <row r="209" ht="14.25" customHeight="1">
      <c r="A209" s="134"/>
      <c r="B209" s="135"/>
      <c r="C209" s="77"/>
      <c r="D209" s="161"/>
      <c r="E209" s="136"/>
      <c r="F209" s="60"/>
      <c r="G209" s="62"/>
      <c r="H209" s="63"/>
      <c r="I209" s="138"/>
      <c r="J209" s="79"/>
      <c r="K209" s="80"/>
      <c r="L209" s="66"/>
      <c r="M209" s="81"/>
      <c r="N209" s="167"/>
      <c r="O209" s="87"/>
      <c r="P209" s="151"/>
      <c r="Q209" s="143"/>
      <c r="R209" s="74"/>
      <c r="S209" s="158"/>
      <c r="T209" s="146">
        <f t="shared" si="10"/>
        <v>0</v>
      </c>
      <c r="U209" s="146">
        <f t="shared" ref="U209:U226" si="24">round((O209*89)+(550*N209),-1)</f>
        <v>0</v>
      </c>
      <c r="V209" s="147"/>
      <c r="W209" s="74" t="b">
        <v>0</v>
      </c>
      <c r="X209" s="74" t="b">
        <v>0</v>
      </c>
      <c r="Y209" s="74" t="b">
        <v>0</v>
      </c>
      <c r="Z209" s="148" t="str">
        <f>IFERROR(__xludf.DUMMYFUNCTION("""COMPUTED_VALUE"""),"")</f>
        <v/>
      </c>
      <c r="AA209" s="148" t="str">
        <f>IFERROR(__xludf.DUMMYFUNCTION("""COMPUTED_VALUE"""),"")</f>
        <v/>
      </c>
      <c r="AB209" s="148" t="str">
        <f>IFERROR(__xludf.DUMMYFUNCTION("""COMPUTED_VALUE"""),"")</f>
        <v/>
      </c>
      <c r="AC209" s="153"/>
      <c r="AD209" s="148"/>
      <c r="AE209" s="47"/>
      <c r="AF209" s="148" t="s">
        <v>613</v>
      </c>
      <c r="AG209" s="148"/>
      <c r="AH209" s="148"/>
      <c r="AI209" s="148" t="s">
        <v>614</v>
      </c>
      <c r="AJ209" s="148" t="s">
        <v>614</v>
      </c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</row>
    <row r="210" ht="14.25" customHeight="1">
      <c r="A210" s="134"/>
      <c r="B210" s="135"/>
      <c r="C210" s="77"/>
      <c r="D210" s="161"/>
      <c r="E210" s="136"/>
      <c r="F210" s="60"/>
      <c r="G210" s="62"/>
      <c r="H210" s="63"/>
      <c r="I210" s="138"/>
      <c r="J210" s="79"/>
      <c r="K210" s="80"/>
      <c r="L210" s="66"/>
      <c r="M210" s="81"/>
      <c r="N210" s="167"/>
      <c r="O210" s="87"/>
      <c r="P210" s="151"/>
      <c r="Q210" s="143"/>
      <c r="R210" s="74"/>
      <c r="S210" s="158"/>
      <c r="T210" s="146">
        <f t="shared" si="10"/>
        <v>0</v>
      </c>
      <c r="U210" s="146">
        <f t="shared" si="24"/>
        <v>0</v>
      </c>
      <c r="V210" s="147"/>
      <c r="W210" s="74" t="b">
        <v>0</v>
      </c>
      <c r="X210" s="74" t="b">
        <v>0</v>
      </c>
      <c r="Y210" s="74" t="b">
        <v>0</v>
      </c>
      <c r="Z210" s="148" t="str">
        <f>IFERROR(__xludf.DUMMYFUNCTION("""COMPUTED_VALUE"""),"")</f>
        <v/>
      </c>
      <c r="AA210" s="148" t="str">
        <f>IFERROR(__xludf.DUMMYFUNCTION("""COMPUTED_VALUE"""),"")</f>
        <v/>
      </c>
      <c r="AB210" s="148" t="str">
        <f>IFERROR(__xludf.DUMMYFUNCTION("""COMPUTED_VALUE"""),"")</f>
        <v/>
      </c>
      <c r="AC210" s="153"/>
      <c r="AD210" s="148"/>
      <c r="AE210" s="47"/>
      <c r="AF210" s="148" t="s">
        <v>613</v>
      </c>
      <c r="AG210" s="148"/>
      <c r="AH210" s="148"/>
      <c r="AI210" s="148" t="s">
        <v>614</v>
      </c>
      <c r="AJ210" s="148" t="s">
        <v>614</v>
      </c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</row>
    <row r="211" ht="14.25" customHeight="1">
      <c r="A211" s="134"/>
      <c r="B211" s="135"/>
      <c r="C211" s="77"/>
      <c r="D211" s="161"/>
      <c r="E211" s="136"/>
      <c r="F211" s="60"/>
      <c r="G211" s="62"/>
      <c r="H211" s="63"/>
      <c r="I211" s="138"/>
      <c r="J211" s="79"/>
      <c r="K211" s="80"/>
      <c r="L211" s="66"/>
      <c r="M211" s="81"/>
      <c r="N211" s="167"/>
      <c r="O211" s="87"/>
      <c r="P211" s="151"/>
      <c r="Q211" s="143"/>
      <c r="R211" s="74"/>
      <c r="S211" s="158"/>
      <c r="T211" s="146">
        <f t="shared" si="10"/>
        <v>0</v>
      </c>
      <c r="U211" s="146">
        <f t="shared" si="24"/>
        <v>0</v>
      </c>
      <c r="V211" s="147"/>
      <c r="W211" s="74" t="b">
        <v>0</v>
      </c>
      <c r="X211" s="74" t="b">
        <v>0</v>
      </c>
      <c r="Y211" s="74" t="b">
        <v>0</v>
      </c>
      <c r="Z211" s="148" t="str">
        <f>IFERROR(__xludf.DUMMYFUNCTION("""COMPUTED_VALUE"""),"")</f>
        <v/>
      </c>
      <c r="AA211" s="148" t="str">
        <f>IFERROR(__xludf.DUMMYFUNCTION("""COMPUTED_VALUE"""),"")</f>
        <v/>
      </c>
      <c r="AB211" s="148" t="str">
        <f>IFERROR(__xludf.DUMMYFUNCTION("""COMPUTED_VALUE"""),"")</f>
        <v/>
      </c>
      <c r="AC211" s="153"/>
      <c r="AD211" s="148"/>
      <c r="AE211" s="47"/>
      <c r="AF211" s="148" t="s">
        <v>613</v>
      </c>
      <c r="AG211" s="148"/>
      <c r="AH211" s="148"/>
      <c r="AI211" s="148" t="s">
        <v>614</v>
      </c>
      <c r="AJ211" s="148" t="s">
        <v>614</v>
      </c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</row>
    <row r="212" ht="14.25" customHeight="1">
      <c r="A212" s="134"/>
      <c r="B212" s="135"/>
      <c r="C212" s="77"/>
      <c r="D212" s="161"/>
      <c r="E212" s="136"/>
      <c r="F212" s="60"/>
      <c r="G212" s="62"/>
      <c r="H212" s="63"/>
      <c r="I212" s="138"/>
      <c r="J212" s="79"/>
      <c r="K212" s="80"/>
      <c r="L212" s="66"/>
      <c r="M212" s="81"/>
      <c r="N212" s="167"/>
      <c r="O212" s="87"/>
      <c r="P212" s="151"/>
      <c r="Q212" s="143"/>
      <c r="R212" s="74"/>
      <c r="S212" s="158"/>
      <c r="T212" s="146">
        <f t="shared" si="10"/>
        <v>0</v>
      </c>
      <c r="U212" s="146">
        <f t="shared" si="24"/>
        <v>0</v>
      </c>
      <c r="V212" s="147"/>
      <c r="W212" s="74" t="b">
        <v>0</v>
      </c>
      <c r="X212" s="74" t="b">
        <v>0</v>
      </c>
      <c r="Y212" s="74" t="b">
        <v>0</v>
      </c>
      <c r="Z212" s="148" t="str">
        <f>IFERROR(__xludf.DUMMYFUNCTION("""COMPUTED_VALUE"""),"")</f>
        <v/>
      </c>
      <c r="AA212" s="148" t="str">
        <f>IFERROR(__xludf.DUMMYFUNCTION("""COMPUTED_VALUE"""),"")</f>
        <v/>
      </c>
      <c r="AB212" s="148" t="str">
        <f>IFERROR(__xludf.DUMMYFUNCTION("""COMPUTED_VALUE"""),"")</f>
        <v/>
      </c>
      <c r="AC212" s="153"/>
      <c r="AD212" s="148"/>
      <c r="AE212" s="47"/>
      <c r="AF212" s="148" t="s">
        <v>613</v>
      </c>
      <c r="AG212" s="148"/>
      <c r="AH212" s="148"/>
      <c r="AI212" s="148" t="s">
        <v>614</v>
      </c>
      <c r="AJ212" s="148" t="s">
        <v>614</v>
      </c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</row>
    <row r="213" ht="14.25" customHeight="1">
      <c r="A213" s="134"/>
      <c r="B213" s="135"/>
      <c r="C213" s="77"/>
      <c r="D213" s="161"/>
      <c r="E213" s="136"/>
      <c r="F213" s="60"/>
      <c r="G213" s="62"/>
      <c r="H213" s="63"/>
      <c r="I213" s="138"/>
      <c r="J213" s="79"/>
      <c r="K213" s="80"/>
      <c r="L213" s="66"/>
      <c r="M213" s="81"/>
      <c r="N213" s="167"/>
      <c r="O213" s="87"/>
      <c r="P213" s="151"/>
      <c r="Q213" s="143"/>
      <c r="R213" s="74"/>
      <c r="S213" s="158"/>
      <c r="T213" s="146">
        <f t="shared" si="10"/>
        <v>0</v>
      </c>
      <c r="U213" s="146">
        <f t="shared" si="24"/>
        <v>0</v>
      </c>
      <c r="V213" s="147"/>
      <c r="W213" s="74" t="b">
        <v>0</v>
      </c>
      <c r="X213" s="74" t="b">
        <v>0</v>
      </c>
      <c r="Y213" s="74" t="b">
        <v>0</v>
      </c>
      <c r="Z213" s="148" t="str">
        <f>IFERROR(__xludf.DUMMYFUNCTION("""COMPUTED_VALUE"""),"")</f>
        <v/>
      </c>
      <c r="AA213" s="148" t="str">
        <f>IFERROR(__xludf.DUMMYFUNCTION("""COMPUTED_VALUE"""),"")</f>
        <v/>
      </c>
      <c r="AB213" s="148" t="str">
        <f>IFERROR(__xludf.DUMMYFUNCTION("""COMPUTED_VALUE"""),"")</f>
        <v/>
      </c>
      <c r="AC213" s="153"/>
      <c r="AD213" s="148"/>
      <c r="AE213" s="47"/>
      <c r="AF213" s="148" t="s">
        <v>613</v>
      </c>
      <c r="AG213" s="148"/>
      <c r="AH213" s="148"/>
      <c r="AI213" s="148" t="s">
        <v>614</v>
      </c>
      <c r="AJ213" s="148" t="s">
        <v>614</v>
      </c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</row>
    <row r="214" ht="14.25" customHeight="1">
      <c r="A214" s="134"/>
      <c r="B214" s="135"/>
      <c r="C214" s="77"/>
      <c r="D214" s="161"/>
      <c r="E214" s="136"/>
      <c r="F214" s="60"/>
      <c r="G214" s="62"/>
      <c r="H214" s="63"/>
      <c r="I214" s="138"/>
      <c r="J214" s="79"/>
      <c r="K214" s="80"/>
      <c r="L214" s="66"/>
      <c r="M214" s="81"/>
      <c r="N214" s="167"/>
      <c r="O214" s="87"/>
      <c r="P214" s="151"/>
      <c r="Q214" s="143"/>
      <c r="R214" s="74"/>
      <c r="S214" s="158"/>
      <c r="T214" s="146">
        <f t="shared" si="10"/>
        <v>0</v>
      </c>
      <c r="U214" s="146">
        <f t="shared" si="24"/>
        <v>0</v>
      </c>
      <c r="V214" s="147"/>
      <c r="W214" s="74" t="b">
        <v>0</v>
      </c>
      <c r="X214" s="74" t="b">
        <v>0</v>
      </c>
      <c r="Y214" s="74" t="b">
        <v>0</v>
      </c>
      <c r="Z214" s="148" t="str">
        <f>IFERROR(__xludf.DUMMYFUNCTION("""COMPUTED_VALUE"""),"")</f>
        <v/>
      </c>
      <c r="AA214" s="148" t="str">
        <f>IFERROR(__xludf.DUMMYFUNCTION("""COMPUTED_VALUE"""),"")</f>
        <v/>
      </c>
      <c r="AB214" s="148" t="str">
        <f>IFERROR(__xludf.DUMMYFUNCTION("""COMPUTED_VALUE"""),"")</f>
        <v/>
      </c>
      <c r="AC214" s="153"/>
      <c r="AD214" s="148"/>
      <c r="AE214" s="47"/>
      <c r="AF214" s="148" t="s">
        <v>613</v>
      </c>
      <c r="AG214" s="148"/>
      <c r="AH214" s="148"/>
      <c r="AI214" s="148" t="s">
        <v>614</v>
      </c>
      <c r="AJ214" s="148" t="s">
        <v>614</v>
      </c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</row>
    <row r="215" ht="14.25" customHeight="1">
      <c r="A215" s="134"/>
      <c r="B215" s="135"/>
      <c r="C215" s="77"/>
      <c r="D215" s="161"/>
      <c r="E215" s="136"/>
      <c r="F215" s="60"/>
      <c r="G215" s="62"/>
      <c r="H215" s="63"/>
      <c r="I215" s="138"/>
      <c r="J215" s="79"/>
      <c r="K215" s="80"/>
      <c r="L215" s="66"/>
      <c r="M215" s="81"/>
      <c r="N215" s="167"/>
      <c r="O215" s="87"/>
      <c r="P215" s="151"/>
      <c r="Q215" s="143"/>
      <c r="R215" s="74"/>
      <c r="S215" s="158"/>
      <c r="T215" s="146">
        <f t="shared" si="10"/>
        <v>0</v>
      </c>
      <c r="U215" s="146">
        <f t="shared" si="24"/>
        <v>0</v>
      </c>
      <c r="V215" s="147"/>
      <c r="W215" s="74" t="b">
        <v>0</v>
      </c>
      <c r="X215" s="74" t="b">
        <v>0</v>
      </c>
      <c r="Y215" s="74" t="b">
        <v>0</v>
      </c>
      <c r="Z215" s="148" t="str">
        <f>IFERROR(__xludf.DUMMYFUNCTION("""COMPUTED_VALUE"""),"")</f>
        <v/>
      </c>
      <c r="AA215" s="148" t="str">
        <f>IFERROR(__xludf.DUMMYFUNCTION("""COMPUTED_VALUE"""),"")</f>
        <v/>
      </c>
      <c r="AB215" s="148" t="str">
        <f>IFERROR(__xludf.DUMMYFUNCTION("""COMPUTED_VALUE"""),"")</f>
        <v/>
      </c>
      <c r="AC215" s="153"/>
      <c r="AD215" s="148"/>
      <c r="AE215" s="47"/>
      <c r="AF215" s="148" t="s">
        <v>613</v>
      </c>
      <c r="AG215" s="148"/>
      <c r="AH215" s="148"/>
      <c r="AI215" s="148" t="s">
        <v>614</v>
      </c>
      <c r="AJ215" s="148" t="s">
        <v>614</v>
      </c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</row>
    <row r="216" ht="14.25" customHeight="1">
      <c r="A216" s="134"/>
      <c r="B216" s="135"/>
      <c r="C216" s="77"/>
      <c r="D216" s="161"/>
      <c r="E216" s="136"/>
      <c r="F216" s="60"/>
      <c r="G216" s="62"/>
      <c r="H216" s="63"/>
      <c r="I216" s="138"/>
      <c r="J216" s="79"/>
      <c r="K216" s="80"/>
      <c r="L216" s="66"/>
      <c r="M216" s="81"/>
      <c r="N216" s="167"/>
      <c r="O216" s="87"/>
      <c r="P216" s="151"/>
      <c r="Q216" s="143"/>
      <c r="R216" s="74"/>
      <c r="S216" s="158"/>
      <c r="T216" s="146">
        <f t="shared" si="10"/>
        <v>0</v>
      </c>
      <c r="U216" s="146">
        <f t="shared" si="24"/>
        <v>0</v>
      </c>
      <c r="V216" s="147"/>
      <c r="W216" s="74" t="b">
        <v>0</v>
      </c>
      <c r="X216" s="74" t="b">
        <v>0</v>
      </c>
      <c r="Y216" s="74" t="b">
        <v>0</v>
      </c>
      <c r="Z216" s="148" t="str">
        <f>IFERROR(__xludf.DUMMYFUNCTION("""COMPUTED_VALUE"""),"")</f>
        <v/>
      </c>
      <c r="AA216" s="148" t="str">
        <f>IFERROR(__xludf.DUMMYFUNCTION("""COMPUTED_VALUE"""),"")</f>
        <v/>
      </c>
      <c r="AB216" s="148" t="str">
        <f>IFERROR(__xludf.DUMMYFUNCTION("""COMPUTED_VALUE"""),"")</f>
        <v/>
      </c>
      <c r="AC216" s="153"/>
      <c r="AD216" s="148"/>
      <c r="AE216" s="47"/>
      <c r="AF216" s="148" t="s">
        <v>613</v>
      </c>
      <c r="AG216" s="148"/>
      <c r="AH216" s="148"/>
      <c r="AI216" s="148" t="s">
        <v>614</v>
      </c>
      <c r="AJ216" s="148" t="s">
        <v>614</v>
      </c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</row>
    <row r="217" ht="14.25" customHeight="1">
      <c r="A217" s="134"/>
      <c r="B217" s="135"/>
      <c r="C217" s="77"/>
      <c r="D217" s="161"/>
      <c r="E217" s="136"/>
      <c r="F217" s="60"/>
      <c r="G217" s="62"/>
      <c r="H217" s="63"/>
      <c r="I217" s="138"/>
      <c r="J217" s="79"/>
      <c r="K217" s="80"/>
      <c r="L217" s="66"/>
      <c r="M217" s="81"/>
      <c r="N217" s="167"/>
      <c r="O217" s="87"/>
      <c r="P217" s="151"/>
      <c r="Q217" s="143"/>
      <c r="R217" s="74"/>
      <c r="S217" s="158"/>
      <c r="T217" s="146">
        <f t="shared" si="10"/>
        <v>0</v>
      </c>
      <c r="U217" s="146">
        <f t="shared" si="24"/>
        <v>0</v>
      </c>
      <c r="V217" s="147"/>
      <c r="W217" s="74" t="b">
        <v>0</v>
      </c>
      <c r="X217" s="74" t="b">
        <v>0</v>
      </c>
      <c r="Y217" s="74" t="b">
        <v>0</v>
      </c>
      <c r="Z217" s="148" t="str">
        <f>IFERROR(__xludf.DUMMYFUNCTION("""COMPUTED_VALUE"""),"")</f>
        <v/>
      </c>
      <c r="AA217" s="148" t="str">
        <f>IFERROR(__xludf.DUMMYFUNCTION("""COMPUTED_VALUE"""),"")</f>
        <v/>
      </c>
      <c r="AB217" s="148" t="str">
        <f>IFERROR(__xludf.DUMMYFUNCTION("""COMPUTED_VALUE"""),"")</f>
        <v/>
      </c>
      <c r="AC217" s="153"/>
      <c r="AD217" s="148"/>
      <c r="AE217" s="47"/>
      <c r="AF217" s="148" t="s">
        <v>613</v>
      </c>
      <c r="AG217" s="148"/>
      <c r="AH217" s="148"/>
      <c r="AI217" s="148" t="s">
        <v>614</v>
      </c>
      <c r="AJ217" s="148" t="s">
        <v>614</v>
      </c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</row>
    <row r="218" ht="14.25" customHeight="1">
      <c r="A218" s="134"/>
      <c r="B218" s="135"/>
      <c r="C218" s="77"/>
      <c r="D218" s="161"/>
      <c r="E218" s="136"/>
      <c r="F218" s="60"/>
      <c r="G218" s="62"/>
      <c r="H218" s="63"/>
      <c r="I218" s="138"/>
      <c r="J218" s="79"/>
      <c r="K218" s="80"/>
      <c r="L218" s="66"/>
      <c r="M218" s="81"/>
      <c r="N218" s="167"/>
      <c r="O218" s="87"/>
      <c r="P218" s="151"/>
      <c r="Q218" s="143"/>
      <c r="R218" s="74"/>
      <c r="S218" s="158"/>
      <c r="T218" s="146">
        <f t="shared" si="10"/>
        <v>0</v>
      </c>
      <c r="U218" s="146">
        <f t="shared" si="24"/>
        <v>0</v>
      </c>
      <c r="V218" s="147"/>
      <c r="W218" s="74" t="b">
        <v>0</v>
      </c>
      <c r="X218" s="74" t="b">
        <v>0</v>
      </c>
      <c r="Y218" s="74" t="b">
        <v>0</v>
      </c>
      <c r="Z218" s="148" t="str">
        <f>IFERROR(__xludf.DUMMYFUNCTION("""COMPUTED_VALUE"""),"")</f>
        <v/>
      </c>
      <c r="AA218" s="148" t="str">
        <f>IFERROR(__xludf.DUMMYFUNCTION("""COMPUTED_VALUE"""),"")</f>
        <v/>
      </c>
      <c r="AB218" s="148" t="str">
        <f>IFERROR(__xludf.DUMMYFUNCTION("""COMPUTED_VALUE"""),"")</f>
        <v/>
      </c>
      <c r="AC218" s="153"/>
      <c r="AD218" s="148"/>
      <c r="AE218" s="47"/>
      <c r="AF218" s="148" t="s">
        <v>613</v>
      </c>
      <c r="AG218" s="148"/>
      <c r="AH218" s="148"/>
      <c r="AI218" s="148" t="s">
        <v>614</v>
      </c>
      <c r="AJ218" s="148" t="s">
        <v>614</v>
      </c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</row>
    <row r="219" ht="14.25" customHeight="1">
      <c r="A219" s="134"/>
      <c r="B219" s="135"/>
      <c r="C219" s="77"/>
      <c r="D219" s="161"/>
      <c r="E219" s="136"/>
      <c r="F219" s="60"/>
      <c r="G219" s="62"/>
      <c r="H219" s="63"/>
      <c r="I219" s="138"/>
      <c r="J219" s="79"/>
      <c r="K219" s="80"/>
      <c r="L219" s="66"/>
      <c r="M219" s="81"/>
      <c r="N219" s="167"/>
      <c r="O219" s="87"/>
      <c r="P219" s="151"/>
      <c r="Q219" s="143"/>
      <c r="R219" s="74"/>
      <c r="S219" s="158"/>
      <c r="T219" s="146">
        <f t="shared" si="10"/>
        <v>0</v>
      </c>
      <c r="U219" s="146">
        <f t="shared" si="24"/>
        <v>0</v>
      </c>
      <c r="V219" s="147"/>
      <c r="W219" s="74" t="b">
        <v>0</v>
      </c>
      <c r="X219" s="74" t="b">
        <v>0</v>
      </c>
      <c r="Y219" s="74" t="b">
        <v>0</v>
      </c>
      <c r="Z219" s="148" t="str">
        <f>IFERROR(__xludf.DUMMYFUNCTION("""COMPUTED_VALUE"""),"")</f>
        <v/>
      </c>
      <c r="AA219" s="148" t="str">
        <f>IFERROR(__xludf.DUMMYFUNCTION("""COMPUTED_VALUE"""),"")</f>
        <v/>
      </c>
      <c r="AB219" s="148" t="str">
        <f>IFERROR(__xludf.DUMMYFUNCTION("""COMPUTED_VALUE"""),"")</f>
        <v/>
      </c>
      <c r="AC219" s="153"/>
      <c r="AD219" s="148"/>
      <c r="AE219" s="47"/>
      <c r="AF219" s="148" t="s">
        <v>613</v>
      </c>
      <c r="AG219" s="148"/>
      <c r="AH219" s="148"/>
      <c r="AI219" s="148" t="s">
        <v>614</v>
      </c>
      <c r="AJ219" s="148" t="s">
        <v>614</v>
      </c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</row>
    <row r="220" ht="14.25" customHeight="1">
      <c r="A220" s="134"/>
      <c r="B220" s="135"/>
      <c r="C220" s="58"/>
      <c r="D220" s="166"/>
      <c r="E220" s="136"/>
      <c r="F220" s="60"/>
      <c r="G220" s="62"/>
      <c r="H220" s="63"/>
      <c r="I220" s="138"/>
      <c r="J220" s="63"/>
      <c r="K220" s="65"/>
      <c r="L220" s="66"/>
      <c r="M220" s="81"/>
      <c r="N220" s="167"/>
      <c r="O220" s="87"/>
      <c r="P220" s="151"/>
      <c r="Q220" s="143"/>
      <c r="R220" s="74"/>
      <c r="S220" s="158"/>
      <c r="T220" s="146">
        <f t="shared" si="10"/>
        <v>0</v>
      </c>
      <c r="U220" s="146">
        <f t="shared" si="24"/>
        <v>0</v>
      </c>
      <c r="V220" s="147"/>
      <c r="W220" s="74" t="b">
        <v>0</v>
      </c>
      <c r="X220" s="74" t="b">
        <v>0</v>
      </c>
      <c r="Y220" s="74" t="b">
        <v>0</v>
      </c>
      <c r="Z220" s="148" t="str">
        <f>IFERROR(__xludf.DUMMYFUNCTION("""COMPUTED_VALUE"""),"")</f>
        <v/>
      </c>
      <c r="AA220" s="148" t="str">
        <f>IFERROR(__xludf.DUMMYFUNCTION("""COMPUTED_VALUE"""),"")</f>
        <v/>
      </c>
      <c r="AB220" s="148" t="str">
        <f>IFERROR(__xludf.DUMMYFUNCTION("""COMPUTED_VALUE"""),"")</f>
        <v/>
      </c>
      <c r="AC220" s="149"/>
      <c r="AD220" s="148"/>
      <c r="AE220" s="148"/>
      <c r="AF220" s="148" t="s">
        <v>613</v>
      </c>
      <c r="AG220" s="148"/>
      <c r="AH220" s="148"/>
      <c r="AI220" s="148" t="s">
        <v>614</v>
      </c>
      <c r="AJ220" s="148" t="s">
        <v>614</v>
      </c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</row>
    <row r="221" ht="14.25" customHeight="1">
      <c r="A221" s="134"/>
      <c r="B221" s="135"/>
      <c r="C221" s="58"/>
      <c r="D221" s="166"/>
      <c r="E221" s="136"/>
      <c r="F221" s="60"/>
      <c r="G221" s="62"/>
      <c r="H221" s="63"/>
      <c r="I221" s="138"/>
      <c r="J221" s="63"/>
      <c r="K221" s="65"/>
      <c r="L221" s="66"/>
      <c r="M221" s="81"/>
      <c r="N221" s="167"/>
      <c r="O221" s="87"/>
      <c r="P221" s="151"/>
      <c r="Q221" s="143"/>
      <c r="R221" s="74"/>
      <c r="S221" s="158"/>
      <c r="T221" s="146">
        <f t="shared" si="10"/>
        <v>0</v>
      </c>
      <c r="U221" s="146">
        <f t="shared" si="24"/>
        <v>0</v>
      </c>
      <c r="V221" s="147"/>
      <c r="W221" s="74" t="b">
        <v>0</v>
      </c>
      <c r="X221" s="74" t="b">
        <v>0</v>
      </c>
      <c r="Y221" s="74" t="b">
        <v>0</v>
      </c>
      <c r="Z221" s="148" t="str">
        <f>IFERROR(__xludf.DUMMYFUNCTION("""COMPUTED_VALUE"""),"")</f>
        <v/>
      </c>
      <c r="AA221" s="148" t="str">
        <f>IFERROR(__xludf.DUMMYFUNCTION("""COMPUTED_VALUE"""),"")</f>
        <v/>
      </c>
      <c r="AB221" s="148" t="str">
        <f>IFERROR(__xludf.DUMMYFUNCTION("""COMPUTED_VALUE"""),"")</f>
        <v/>
      </c>
      <c r="AC221" s="149"/>
      <c r="AD221" s="148"/>
      <c r="AE221" s="148"/>
      <c r="AF221" s="148" t="s">
        <v>613</v>
      </c>
      <c r="AG221" s="148"/>
      <c r="AH221" s="148"/>
      <c r="AI221" s="148" t="s">
        <v>614</v>
      </c>
      <c r="AJ221" s="148" t="s">
        <v>614</v>
      </c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</row>
    <row r="222" ht="14.25" customHeight="1">
      <c r="A222" s="134"/>
      <c r="B222" s="135"/>
      <c r="C222" s="77"/>
      <c r="D222" s="161"/>
      <c r="E222" s="136"/>
      <c r="F222" s="60"/>
      <c r="G222" s="62"/>
      <c r="H222" s="63"/>
      <c r="I222" s="138"/>
      <c r="J222" s="79"/>
      <c r="K222" s="80"/>
      <c r="L222" s="66"/>
      <c r="M222" s="81"/>
      <c r="N222" s="167"/>
      <c r="O222" s="87"/>
      <c r="P222" s="151"/>
      <c r="Q222" s="143"/>
      <c r="R222" s="74"/>
      <c r="S222" s="158"/>
      <c r="T222" s="146">
        <f t="shared" si="10"/>
        <v>0</v>
      </c>
      <c r="U222" s="146">
        <f t="shared" si="24"/>
        <v>0</v>
      </c>
      <c r="V222" s="147"/>
      <c r="W222" s="74" t="b">
        <v>0</v>
      </c>
      <c r="X222" s="74" t="b">
        <v>0</v>
      </c>
      <c r="Y222" s="74" t="b">
        <v>0</v>
      </c>
      <c r="Z222" s="148" t="str">
        <f>IFERROR(__xludf.DUMMYFUNCTION("""COMPUTED_VALUE"""),"")</f>
        <v/>
      </c>
      <c r="AA222" s="148" t="str">
        <f>IFERROR(__xludf.DUMMYFUNCTION("""COMPUTED_VALUE"""),"")</f>
        <v/>
      </c>
      <c r="AB222" s="148" t="str">
        <f>IFERROR(__xludf.DUMMYFUNCTION("""COMPUTED_VALUE"""),"")</f>
        <v/>
      </c>
      <c r="AC222" s="153"/>
      <c r="AD222" s="148"/>
      <c r="AE222" s="47"/>
      <c r="AF222" s="148" t="s">
        <v>613</v>
      </c>
      <c r="AG222" s="148"/>
      <c r="AH222" s="148"/>
      <c r="AI222" s="148" t="s">
        <v>614</v>
      </c>
      <c r="AJ222" s="148" t="s">
        <v>614</v>
      </c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</row>
    <row r="223" ht="14.25" customHeight="1">
      <c r="A223" s="134"/>
      <c r="B223" s="135"/>
      <c r="C223" s="77"/>
      <c r="D223" s="161"/>
      <c r="E223" s="136"/>
      <c r="F223" s="60"/>
      <c r="G223" s="62"/>
      <c r="H223" s="63"/>
      <c r="I223" s="138"/>
      <c r="J223" s="79"/>
      <c r="K223" s="80"/>
      <c r="L223" s="66"/>
      <c r="M223" s="81"/>
      <c r="N223" s="167"/>
      <c r="O223" s="87"/>
      <c r="P223" s="151"/>
      <c r="Q223" s="143"/>
      <c r="R223" s="74"/>
      <c r="S223" s="158"/>
      <c r="T223" s="146">
        <f t="shared" si="10"/>
        <v>0</v>
      </c>
      <c r="U223" s="146">
        <f t="shared" si="24"/>
        <v>0</v>
      </c>
      <c r="V223" s="147"/>
      <c r="W223" s="74" t="b">
        <v>0</v>
      </c>
      <c r="X223" s="74" t="b">
        <v>0</v>
      </c>
      <c r="Y223" s="74" t="b">
        <v>0</v>
      </c>
      <c r="Z223" s="148" t="str">
        <f>IFERROR(__xludf.DUMMYFUNCTION("""COMPUTED_VALUE"""),"")</f>
        <v/>
      </c>
      <c r="AA223" s="148" t="str">
        <f>IFERROR(__xludf.DUMMYFUNCTION("""COMPUTED_VALUE"""),"")</f>
        <v/>
      </c>
      <c r="AB223" s="148" t="str">
        <f>IFERROR(__xludf.DUMMYFUNCTION("""COMPUTED_VALUE"""),"")</f>
        <v/>
      </c>
      <c r="AC223" s="153"/>
      <c r="AD223" s="148"/>
      <c r="AE223" s="47"/>
      <c r="AF223" s="148" t="s">
        <v>613</v>
      </c>
      <c r="AG223" s="148"/>
      <c r="AH223" s="148"/>
      <c r="AI223" s="148" t="s">
        <v>614</v>
      </c>
      <c r="AJ223" s="148" t="s">
        <v>614</v>
      </c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</row>
    <row r="224" ht="14.25" customHeight="1">
      <c r="A224" s="134"/>
      <c r="B224" s="135"/>
      <c r="C224" s="77"/>
      <c r="D224" s="161"/>
      <c r="E224" s="136"/>
      <c r="F224" s="60"/>
      <c r="G224" s="62"/>
      <c r="H224" s="63"/>
      <c r="I224" s="138"/>
      <c r="J224" s="79"/>
      <c r="K224" s="80"/>
      <c r="L224" s="66"/>
      <c r="M224" s="81"/>
      <c r="N224" s="167"/>
      <c r="O224" s="87"/>
      <c r="P224" s="151"/>
      <c r="Q224" s="143"/>
      <c r="R224" s="74"/>
      <c r="S224" s="158"/>
      <c r="T224" s="146">
        <f t="shared" si="10"/>
        <v>0</v>
      </c>
      <c r="U224" s="146">
        <f t="shared" si="24"/>
        <v>0</v>
      </c>
      <c r="V224" s="147"/>
      <c r="W224" s="74" t="b">
        <v>0</v>
      </c>
      <c r="X224" s="74" t="b">
        <v>0</v>
      </c>
      <c r="Y224" s="74" t="b">
        <v>0</v>
      </c>
      <c r="Z224" s="148" t="str">
        <f>IFERROR(__xludf.DUMMYFUNCTION("""COMPUTED_VALUE"""),"")</f>
        <v/>
      </c>
      <c r="AA224" s="148" t="str">
        <f>IFERROR(__xludf.DUMMYFUNCTION("""COMPUTED_VALUE"""),"")</f>
        <v/>
      </c>
      <c r="AB224" s="148" t="str">
        <f>IFERROR(__xludf.DUMMYFUNCTION("""COMPUTED_VALUE"""),"")</f>
        <v/>
      </c>
      <c r="AC224" s="153"/>
      <c r="AD224" s="148"/>
      <c r="AE224" s="47"/>
      <c r="AF224" s="148" t="s">
        <v>613</v>
      </c>
      <c r="AG224" s="148"/>
      <c r="AH224" s="148"/>
      <c r="AI224" s="148" t="s">
        <v>614</v>
      </c>
      <c r="AJ224" s="148" t="s">
        <v>614</v>
      </c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</row>
    <row r="225" ht="14.25" customHeight="1">
      <c r="A225" s="134"/>
      <c r="B225" s="135"/>
      <c r="C225" s="77"/>
      <c r="D225" s="161"/>
      <c r="E225" s="136"/>
      <c r="F225" s="60"/>
      <c r="G225" s="62"/>
      <c r="H225" s="63"/>
      <c r="I225" s="138"/>
      <c r="J225" s="79"/>
      <c r="K225" s="80"/>
      <c r="L225" s="66"/>
      <c r="M225" s="81"/>
      <c r="N225" s="167"/>
      <c r="O225" s="87"/>
      <c r="P225" s="151"/>
      <c r="Q225" s="143"/>
      <c r="R225" s="74"/>
      <c r="S225" s="158"/>
      <c r="T225" s="146">
        <f t="shared" si="10"/>
        <v>0</v>
      </c>
      <c r="U225" s="146">
        <f t="shared" si="24"/>
        <v>0</v>
      </c>
      <c r="V225" s="147"/>
      <c r="W225" s="74" t="b">
        <v>0</v>
      </c>
      <c r="X225" s="74" t="b">
        <v>0</v>
      </c>
      <c r="Y225" s="74" t="b">
        <v>0</v>
      </c>
      <c r="Z225" s="148" t="str">
        <f>IFERROR(__xludf.DUMMYFUNCTION("""COMPUTED_VALUE"""),"")</f>
        <v/>
      </c>
      <c r="AA225" s="148" t="str">
        <f>IFERROR(__xludf.DUMMYFUNCTION("""COMPUTED_VALUE"""),"")</f>
        <v/>
      </c>
      <c r="AB225" s="148" t="str">
        <f>IFERROR(__xludf.DUMMYFUNCTION("""COMPUTED_VALUE"""),"")</f>
        <v/>
      </c>
      <c r="AC225" s="153"/>
      <c r="AD225" s="148"/>
      <c r="AE225" s="47"/>
      <c r="AF225" s="148" t="s">
        <v>613</v>
      </c>
      <c r="AG225" s="148"/>
      <c r="AH225" s="148"/>
      <c r="AI225" s="148" t="s">
        <v>614</v>
      </c>
      <c r="AJ225" s="148" t="s">
        <v>614</v>
      </c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</row>
    <row r="226" ht="14.25" customHeight="1">
      <c r="A226" s="134"/>
      <c r="B226" s="135"/>
      <c r="C226" s="77"/>
      <c r="D226" s="161"/>
      <c r="E226" s="136"/>
      <c r="F226" s="60"/>
      <c r="G226" s="62"/>
      <c r="H226" s="63"/>
      <c r="I226" s="138"/>
      <c r="J226" s="79"/>
      <c r="K226" s="80"/>
      <c r="L226" s="66"/>
      <c r="M226" s="81"/>
      <c r="N226" s="167"/>
      <c r="O226" s="87"/>
      <c r="P226" s="151"/>
      <c r="Q226" s="143"/>
      <c r="R226" s="74"/>
      <c r="S226" s="158"/>
      <c r="T226" s="146">
        <f t="shared" si="10"/>
        <v>0</v>
      </c>
      <c r="U226" s="146">
        <f t="shared" si="24"/>
        <v>0</v>
      </c>
      <c r="V226" s="147"/>
      <c r="W226" s="74" t="b">
        <v>0</v>
      </c>
      <c r="X226" s="74" t="b">
        <v>0</v>
      </c>
      <c r="Y226" s="74" t="b">
        <v>0</v>
      </c>
      <c r="Z226" s="148" t="str">
        <f>IFERROR(__xludf.DUMMYFUNCTION("""COMPUTED_VALUE"""),"")</f>
        <v/>
      </c>
      <c r="AA226" s="148" t="str">
        <f>IFERROR(__xludf.DUMMYFUNCTION("""COMPUTED_VALUE"""),"")</f>
        <v/>
      </c>
      <c r="AB226" s="148" t="str">
        <f>IFERROR(__xludf.DUMMYFUNCTION("""COMPUTED_VALUE"""),"")</f>
        <v/>
      </c>
      <c r="AC226" s="153"/>
      <c r="AD226" s="148"/>
      <c r="AE226" s="47"/>
      <c r="AF226" s="148" t="s">
        <v>613</v>
      </c>
      <c r="AG226" s="148"/>
      <c r="AH226" s="148"/>
      <c r="AI226" s="148" t="s">
        <v>614</v>
      </c>
      <c r="AJ226" s="148" t="s">
        <v>614</v>
      </c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</row>
    <row r="227" ht="14.25" customHeight="1">
      <c r="A227" s="134"/>
      <c r="B227" s="135"/>
      <c r="C227" s="77"/>
      <c r="D227" s="161"/>
      <c r="E227" s="136"/>
      <c r="F227" s="60"/>
      <c r="G227" s="62"/>
      <c r="H227" s="154"/>
      <c r="I227" s="138"/>
      <c r="J227" s="79"/>
      <c r="K227" s="80"/>
      <c r="L227" s="66"/>
      <c r="M227" s="81"/>
      <c r="N227" s="167"/>
      <c r="O227" s="87"/>
      <c r="P227" s="151"/>
      <c r="Q227" s="143"/>
      <c r="R227" s="74"/>
      <c r="S227" s="158"/>
      <c r="T227" s="146">
        <f t="shared" si="10"/>
        <v>0</v>
      </c>
      <c r="U227" s="146">
        <f>round((O227*69)+(10*N227),-1)</f>
        <v>0</v>
      </c>
      <c r="V227" s="147"/>
      <c r="W227" s="74" t="b">
        <v>0</v>
      </c>
      <c r="X227" s="74" t="b">
        <v>0</v>
      </c>
      <c r="Y227" s="74" t="b">
        <v>0</v>
      </c>
      <c r="Z227" s="148" t="str">
        <f>IFERROR(__xludf.DUMMYFUNCTION("""COMPUTED_VALUE"""),"")</f>
        <v/>
      </c>
      <c r="AA227" s="148" t="str">
        <f>IFERROR(__xludf.DUMMYFUNCTION("""COMPUTED_VALUE"""),"")</f>
        <v/>
      </c>
      <c r="AB227" s="148" t="str">
        <f>IFERROR(__xludf.DUMMYFUNCTION("""COMPUTED_VALUE"""),"")</f>
        <v/>
      </c>
      <c r="AC227" s="153"/>
      <c r="AD227" s="148"/>
      <c r="AE227" s="47"/>
      <c r="AF227" s="148" t="s">
        <v>613</v>
      </c>
      <c r="AG227" s="148"/>
      <c r="AH227" s="148"/>
      <c r="AI227" s="148" t="s">
        <v>614</v>
      </c>
      <c r="AJ227" s="148" t="s">
        <v>614</v>
      </c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</row>
    <row r="228" ht="14.25" customHeight="1">
      <c r="A228" s="134"/>
      <c r="B228" s="135"/>
      <c r="C228" s="77"/>
      <c r="D228" s="161"/>
      <c r="E228" s="136"/>
      <c r="F228" s="60"/>
      <c r="G228" s="62"/>
      <c r="H228" s="63"/>
      <c r="I228" s="138"/>
      <c r="J228" s="79"/>
      <c r="K228" s="80"/>
      <c r="L228" s="66"/>
      <c r="M228" s="81"/>
      <c r="N228" s="167"/>
      <c r="O228" s="87"/>
      <c r="P228" s="151"/>
      <c r="Q228" s="143"/>
      <c r="R228" s="74"/>
      <c r="S228" s="158"/>
      <c r="T228" s="146">
        <f t="shared" si="10"/>
        <v>0</v>
      </c>
      <c r="U228" s="146">
        <f t="shared" ref="U228:U230" si="25">round((O228*89)+(550*N228),-1)</f>
        <v>0</v>
      </c>
      <c r="V228" s="147"/>
      <c r="W228" s="74" t="b">
        <v>0</v>
      </c>
      <c r="X228" s="74" t="b">
        <v>0</v>
      </c>
      <c r="Y228" s="74" t="b">
        <v>0</v>
      </c>
      <c r="Z228" s="148" t="str">
        <f>IFERROR(__xludf.DUMMYFUNCTION("""COMPUTED_VALUE"""),"")</f>
        <v/>
      </c>
      <c r="AA228" s="148" t="str">
        <f>IFERROR(__xludf.DUMMYFUNCTION("""COMPUTED_VALUE"""),"")</f>
        <v/>
      </c>
      <c r="AB228" s="148" t="str">
        <f>IFERROR(__xludf.DUMMYFUNCTION("""COMPUTED_VALUE"""),"")</f>
        <v/>
      </c>
      <c r="AC228" s="153"/>
      <c r="AD228" s="148"/>
      <c r="AE228" s="47"/>
      <c r="AF228" s="148" t="s">
        <v>613</v>
      </c>
      <c r="AG228" s="148"/>
      <c r="AH228" s="148"/>
      <c r="AI228" s="148" t="s">
        <v>614</v>
      </c>
      <c r="AJ228" s="148" t="s">
        <v>614</v>
      </c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</row>
    <row r="229" ht="14.25" customHeight="1">
      <c r="A229" s="134"/>
      <c r="B229" s="135"/>
      <c r="C229" s="77"/>
      <c r="D229" s="161"/>
      <c r="E229" s="136"/>
      <c r="F229" s="60"/>
      <c r="G229" s="62"/>
      <c r="H229" s="63"/>
      <c r="I229" s="138"/>
      <c r="J229" s="79"/>
      <c r="K229" s="80"/>
      <c r="L229" s="66"/>
      <c r="M229" s="81"/>
      <c r="N229" s="167"/>
      <c r="O229" s="87"/>
      <c r="P229" s="151"/>
      <c r="Q229" s="143"/>
      <c r="R229" s="74"/>
      <c r="S229" s="158"/>
      <c r="T229" s="146">
        <f t="shared" si="10"/>
        <v>0</v>
      </c>
      <c r="U229" s="146">
        <f t="shared" si="25"/>
        <v>0</v>
      </c>
      <c r="V229" s="147"/>
      <c r="W229" s="74" t="b">
        <v>0</v>
      </c>
      <c r="X229" s="74" t="b">
        <v>0</v>
      </c>
      <c r="Y229" s="74" t="b">
        <v>0</v>
      </c>
      <c r="Z229" s="148" t="str">
        <f>IFERROR(__xludf.DUMMYFUNCTION("""COMPUTED_VALUE"""),"")</f>
        <v/>
      </c>
      <c r="AA229" s="148" t="str">
        <f>IFERROR(__xludf.DUMMYFUNCTION("""COMPUTED_VALUE"""),"")</f>
        <v/>
      </c>
      <c r="AB229" s="148" t="str">
        <f>IFERROR(__xludf.DUMMYFUNCTION("""COMPUTED_VALUE"""),"")</f>
        <v/>
      </c>
      <c r="AC229" s="153"/>
      <c r="AD229" s="148"/>
      <c r="AE229" s="47"/>
      <c r="AF229" s="148" t="s">
        <v>613</v>
      </c>
      <c r="AG229" s="148"/>
      <c r="AH229" s="148"/>
      <c r="AI229" s="148" t="s">
        <v>614</v>
      </c>
      <c r="AJ229" s="148" t="s">
        <v>614</v>
      </c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</row>
    <row r="230" ht="14.25" customHeight="1">
      <c r="A230" s="134"/>
      <c r="B230" s="135"/>
      <c r="C230" s="77"/>
      <c r="D230" s="161"/>
      <c r="E230" s="136"/>
      <c r="F230" s="60"/>
      <c r="G230" s="62"/>
      <c r="H230" s="63"/>
      <c r="I230" s="138"/>
      <c r="J230" s="79"/>
      <c r="K230" s="80"/>
      <c r="L230" s="66"/>
      <c r="M230" s="81"/>
      <c r="N230" s="167"/>
      <c r="O230" s="87"/>
      <c r="P230" s="151"/>
      <c r="Q230" s="143"/>
      <c r="R230" s="74"/>
      <c r="S230" s="158"/>
      <c r="T230" s="146">
        <f t="shared" si="10"/>
        <v>0</v>
      </c>
      <c r="U230" s="146">
        <f t="shared" si="25"/>
        <v>0</v>
      </c>
      <c r="V230" s="147"/>
      <c r="W230" s="74" t="b">
        <v>0</v>
      </c>
      <c r="X230" s="74" t="b">
        <v>0</v>
      </c>
      <c r="Y230" s="74" t="b">
        <v>0</v>
      </c>
      <c r="Z230" s="148" t="str">
        <f>IFERROR(__xludf.DUMMYFUNCTION("""COMPUTED_VALUE"""),"")</f>
        <v/>
      </c>
      <c r="AA230" s="148" t="str">
        <f>IFERROR(__xludf.DUMMYFUNCTION("""COMPUTED_VALUE"""),"")</f>
        <v/>
      </c>
      <c r="AB230" s="148" t="str">
        <f>IFERROR(__xludf.DUMMYFUNCTION("""COMPUTED_VALUE"""),"")</f>
        <v/>
      </c>
      <c r="AC230" s="153"/>
      <c r="AD230" s="148"/>
      <c r="AE230" s="47"/>
      <c r="AF230" s="148" t="s">
        <v>613</v>
      </c>
      <c r="AG230" s="148"/>
      <c r="AH230" s="148"/>
      <c r="AI230" s="148" t="s">
        <v>614</v>
      </c>
      <c r="AJ230" s="148" t="s">
        <v>614</v>
      </c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</row>
    <row r="231" ht="14.25" customHeight="1">
      <c r="A231" s="134"/>
      <c r="B231" s="135"/>
      <c r="C231" s="77"/>
      <c r="D231" s="161"/>
      <c r="E231" s="136"/>
      <c r="F231" s="60"/>
      <c r="G231" s="62"/>
      <c r="H231" s="154"/>
      <c r="I231" s="138"/>
      <c r="J231" s="79"/>
      <c r="K231" s="80"/>
      <c r="L231" s="66"/>
      <c r="M231" s="81"/>
      <c r="N231" s="167"/>
      <c r="O231" s="87"/>
      <c r="P231" s="151"/>
      <c r="Q231" s="143"/>
      <c r="R231" s="74"/>
      <c r="S231" s="158"/>
      <c r="T231" s="146">
        <f t="shared" si="10"/>
        <v>0</v>
      </c>
      <c r="U231" s="146">
        <f>round((O231*119)+(550*N231),-1)</f>
        <v>0</v>
      </c>
      <c r="V231" s="147"/>
      <c r="W231" s="74" t="b">
        <v>0</v>
      </c>
      <c r="X231" s="74" t="b">
        <v>0</v>
      </c>
      <c r="Y231" s="74" t="b">
        <v>0</v>
      </c>
      <c r="Z231" s="148" t="str">
        <f>IFERROR(__xludf.DUMMYFUNCTION("""COMPUTED_VALUE"""),"")</f>
        <v/>
      </c>
      <c r="AA231" s="148" t="str">
        <f>IFERROR(__xludf.DUMMYFUNCTION("""COMPUTED_VALUE"""),"")</f>
        <v/>
      </c>
      <c r="AB231" s="148" t="str">
        <f>IFERROR(__xludf.DUMMYFUNCTION("""COMPUTED_VALUE"""),"")</f>
        <v/>
      </c>
      <c r="AC231" s="153"/>
      <c r="AD231" s="148"/>
      <c r="AE231" s="47"/>
      <c r="AF231" s="148" t="s">
        <v>613</v>
      </c>
      <c r="AG231" s="148"/>
      <c r="AH231" s="148"/>
      <c r="AI231" s="148" t="s">
        <v>614</v>
      </c>
      <c r="AJ231" s="148" t="s">
        <v>614</v>
      </c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</row>
    <row r="232" ht="14.25" customHeight="1">
      <c r="A232" s="134"/>
      <c r="B232" s="135"/>
      <c r="C232" s="77"/>
      <c r="D232" s="161"/>
      <c r="E232" s="136"/>
      <c r="F232" s="60"/>
      <c r="G232" s="62"/>
      <c r="H232" s="63"/>
      <c r="I232" s="138"/>
      <c r="J232" s="79"/>
      <c r="K232" s="80"/>
      <c r="L232" s="66"/>
      <c r="M232" s="81"/>
      <c r="N232" s="167"/>
      <c r="O232" s="87"/>
      <c r="P232" s="151"/>
      <c r="Q232" s="143"/>
      <c r="R232" s="74"/>
      <c r="S232" s="158"/>
      <c r="T232" s="146">
        <f t="shared" si="10"/>
        <v>0</v>
      </c>
      <c r="U232" s="146">
        <f t="shared" ref="U232:U235" si="26">round((O232*89)+(550*N232),-1)</f>
        <v>0</v>
      </c>
      <c r="V232" s="147"/>
      <c r="W232" s="74" t="b">
        <v>0</v>
      </c>
      <c r="X232" s="74" t="b">
        <v>0</v>
      </c>
      <c r="Y232" s="74" t="b">
        <v>0</v>
      </c>
      <c r="Z232" s="148" t="str">
        <f>IFERROR(__xludf.DUMMYFUNCTION("""COMPUTED_VALUE"""),"")</f>
        <v/>
      </c>
      <c r="AA232" s="148" t="str">
        <f>IFERROR(__xludf.DUMMYFUNCTION("""COMPUTED_VALUE"""),"")</f>
        <v/>
      </c>
      <c r="AB232" s="148" t="str">
        <f>IFERROR(__xludf.DUMMYFUNCTION("""COMPUTED_VALUE"""),"")</f>
        <v/>
      </c>
      <c r="AC232" s="153"/>
      <c r="AD232" s="148"/>
      <c r="AE232" s="47"/>
      <c r="AF232" s="148" t="s">
        <v>613</v>
      </c>
      <c r="AG232" s="148"/>
      <c r="AH232" s="148"/>
      <c r="AI232" s="148" t="s">
        <v>614</v>
      </c>
      <c r="AJ232" s="148" t="s">
        <v>614</v>
      </c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</row>
    <row r="233" ht="14.25" customHeight="1">
      <c r="A233" s="134"/>
      <c r="B233" s="135"/>
      <c r="C233" s="77"/>
      <c r="D233" s="161"/>
      <c r="E233" s="136"/>
      <c r="F233" s="60"/>
      <c r="G233" s="62"/>
      <c r="H233" s="63"/>
      <c r="I233" s="138"/>
      <c r="J233" s="79"/>
      <c r="K233" s="80"/>
      <c r="L233" s="66"/>
      <c r="M233" s="81"/>
      <c r="N233" s="167"/>
      <c r="O233" s="87"/>
      <c r="P233" s="151"/>
      <c r="Q233" s="143"/>
      <c r="R233" s="74"/>
      <c r="S233" s="158"/>
      <c r="T233" s="146">
        <f t="shared" si="10"/>
        <v>0</v>
      </c>
      <c r="U233" s="146">
        <f t="shared" si="26"/>
        <v>0</v>
      </c>
      <c r="V233" s="147"/>
      <c r="W233" s="74" t="b">
        <v>0</v>
      </c>
      <c r="X233" s="74" t="b">
        <v>0</v>
      </c>
      <c r="Y233" s="74" t="b">
        <v>0</v>
      </c>
      <c r="Z233" s="148" t="str">
        <f>IFERROR(__xludf.DUMMYFUNCTION("""COMPUTED_VALUE"""),"")</f>
        <v/>
      </c>
      <c r="AA233" s="148" t="str">
        <f>IFERROR(__xludf.DUMMYFUNCTION("""COMPUTED_VALUE"""),"")</f>
        <v/>
      </c>
      <c r="AB233" s="148" t="str">
        <f>IFERROR(__xludf.DUMMYFUNCTION("""COMPUTED_VALUE"""),"")</f>
        <v/>
      </c>
      <c r="AC233" s="153"/>
      <c r="AD233" s="148"/>
      <c r="AE233" s="47"/>
      <c r="AF233" s="148" t="s">
        <v>613</v>
      </c>
      <c r="AG233" s="148"/>
      <c r="AH233" s="148"/>
      <c r="AI233" s="148" t="s">
        <v>614</v>
      </c>
      <c r="AJ233" s="148" t="s">
        <v>614</v>
      </c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</row>
    <row r="234" ht="14.25" customHeight="1">
      <c r="A234" s="134"/>
      <c r="B234" s="135"/>
      <c r="C234" s="77"/>
      <c r="D234" s="161"/>
      <c r="E234" s="136"/>
      <c r="F234" s="60"/>
      <c r="G234" s="62"/>
      <c r="H234" s="63"/>
      <c r="I234" s="138"/>
      <c r="J234" s="79"/>
      <c r="K234" s="80"/>
      <c r="L234" s="66"/>
      <c r="M234" s="81"/>
      <c r="N234" s="167"/>
      <c r="O234" s="87"/>
      <c r="P234" s="151"/>
      <c r="Q234" s="143"/>
      <c r="R234" s="74"/>
      <c r="S234" s="158"/>
      <c r="T234" s="146">
        <f t="shared" si="10"/>
        <v>0</v>
      </c>
      <c r="U234" s="146">
        <f t="shared" si="26"/>
        <v>0</v>
      </c>
      <c r="V234" s="147"/>
      <c r="W234" s="74" t="b">
        <v>0</v>
      </c>
      <c r="X234" s="74" t="b">
        <v>0</v>
      </c>
      <c r="Y234" s="74" t="b">
        <v>0</v>
      </c>
      <c r="Z234" s="148" t="str">
        <f>IFERROR(__xludf.DUMMYFUNCTION("""COMPUTED_VALUE"""),"")</f>
        <v/>
      </c>
      <c r="AA234" s="148" t="str">
        <f>IFERROR(__xludf.DUMMYFUNCTION("""COMPUTED_VALUE"""),"")</f>
        <v/>
      </c>
      <c r="AB234" s="148" t="str">
        <f>IFERROR(__xludf.DUMMYFUNCTION("""COMPUTED_VALUE"""),"")</f>
        <v/>
      </c>
      <c r="AC234" s="153"/>
      <c r="AD234" s="148"/>
      <c r="AE234" s="47"/>
      <c r="AF234" s="148" t="s">
        <v>613</v>
      </c>
      <c r="AG234" s="148"/>
      <c r="AH234" s="148"/>
      <c r="AI234" s="148" t="s">
        <v>614</v>
      </c>
      <c r="AJ234" s="148" t="s">
        <v>614</v>
      </c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</row>
    <row r="235" ht="14.25" customHeight="1">
      <c r="A235" s="134"/>
      <c r="B235" s="135"/>
      <c r="C235" s="77"/>
      <c r="D235" s="161"/>
      <c r="E235" s="136"/>
      <c r="F235" s="60"/>
      <c r="G235" s="62"/>
      <c r="H235" s="63"/>
      <c r="I235" s="138"/>
      <c r="J235" s="79"/>
      <c r="K235" s="80"/>
      <c r="L235" s="66"/>
      <c r="M235" s="81"/>
      <c r="N235" s="167"/>
      <c r="O235" s="87"/>
      <c r="P235" s="151"/>
      <c r="Q235" s="143"/>
      <c r="R235" s="74"/>
      <c r="S235" s="158"/>
      <c r="T235" s="146">
        <f t="shared" si="10"/>
        <v>0</v>
      </c>
      <c r="U235" s="146">
        <f t="shared" si="26"/>
        <v>0</v>
      </c>
      <c r="V235" s="147"/>
      <c r="W235" s="74" t="b">
        <v>0</v>
      </c>
      <c r="X235" s="74" t="b">
        <v>0</v>
      </c>
      <c r="Y235" s="74" t="b">
        <v>0</v>
      </c>
      <c r="Z235" s="148" t="str">
        <f>IFERROR(__xludf.DUMMYFUNCTION("""COMPUTED_VALUE"""),"")</f>
        <v/>
      </c>
      <c r="AA235" s="148" t="str">
        <f>IFERROR(__xludf.DUMMYFUNCTION("""COMPUTED_VALUE"""),"")</f>
        <v/>
      </c>
      <c r="AB235" s="148" t="str">
        <f>IFERROR(__xludf.DUMMYFUNCTION("""COMPUTED_VALUE"""),"")</f>
        <v/>
      </c>
      <c r="AC235" s="153"/>
      <c r="AD235" s="148"/>
      <c r="AE235" s="47"/>
      <c r="AF235" s="148" t="s">
        <v>613</v>
      </c>
      <c r="AG235" s="148"/>
      <c r="AH235" s="148"/>
      <c r="AI235" s="148" t="s">
        <v>614</v>
      </c>
      <c r="AJ235" s="148" t="s">
        <v>614</v>
      </c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</row>
    <row r="236" ht="14.25" customHeight="1">
      <c r="A236" s="134"/>
      <c r="B236" s="135"/>
      <c r="C236" s="77"/>
      <c r="D236" s="161"/>
      <c r="E236" s="136"/>
      <c r="F236" s="60"/>
      <c r="G236" s="62"/>
      <c r="H236" s="154"/>
      <c r="I236" s="138"/>
      <c r="J236" s="79"/>
      <c r="K236" s="80"/>
      <c r="L236" s="66"/>
      <c r="M236" s="81"/>
      <c r="N236" s="167"/>
      <c r="O236" s="87"/>
      <c r="P236" s="151"/>
      <c r="Q236" s="143"/>
      <c r="R236" s="74"/>
      <c r="S236" s="158"/>
      <c r="T236" s="146">
        <f t="shared" si="10"/>
        <v>0</v>
      </c>
      <c r="U236" s="146">
        <f>round((O236*119)+(550*N236),-1)</f>
        <v>0</v>
      </c>
      <c r="V236" s="147"/>
      <c r="W236" s="74" t="b">
        <v>0</v>
      </c>
      <c r="X236" s="74" t="b">
        <v>0</v>
      </c>
      <c r="Y236" s="74" t="b">
        <v>0</v>
      </c>
      <c r="Z236" s="148" t="str">
        <f>IFERROR(__xludf.DUMMYFUNCTION("""COMPUTED_VALUE"""),"")</f>
        <v/>
      </c>
      <c r="AA236" s="148" t="str">
        <f>IFERROR(__xludf.DUMMYFUNCTION("""COMPUTED_VALUE"""),"")</f>
        <v/>
      </c>
      <c r="AB236" s="148" t="str">
        <f>IFERROR(__xludf.DUMMYFUNCTION("""COMPUTED_VALUE"""),"")</f>
        <v/>
      </c>
      <c r="AC236" s="153"/>
      <c r="AD236" s="148"/>
      <c r="AE236" s="47"/>
      <c r="AF236" s="148" t="s">
        <v>613</v>
      </c>
      <c r="AG236" s="148"/>
      <c r="AH236" s="148"/>
      <c r="AI236" s="148" t="s">
        <v>614</v>
      </c>
      <c r="AJ236" s="148" t="s">
        <v>614</v>
      </c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</row>
    <row r="237" ht="14.25" customHeight="1">
      <c r="A237" s="134"/>
      <c r="B237" s="135"/>
      <c r="C237" s="77"/>
      <c r="D237" s="161"/>
      <c r="E237" s="136"/>
      <c r="F237" s="60"/>
      <c r="G237" s="62"/>
      <c r="H237" s="154"/>
      <c r="I237" s="138"/>
      <c r="J237" s="79"/>
      <c r="K237" s="80"/>
      <c r="L237" s="66"/>
      <c r="M237" s="81"/>
      <c r="N237" s="167"/>
      <c r="O237" s="87"/>
      <c r="P237" s="151"/>
      <c r="Q237" s="143"/>
      <c r="R237" s="74"/>
      <c r="S237" s="158"/>
      <c r="T237" s="146">
        <f t="shared" si="10"/>
        <v>0</v>
      </c>
      <c r="U237" s="146">
        <f>round((O237*48)+(550*N237),-1)</f>
        <v>0</v>
      </c>
      <c r="V237" s="147"/>
      <c r="W237" s="74" t="b">
        <v>0</v>
      </c>
      <c r="X237" s="74" t="b">
        <v>0</v>
      </c>
      <c r="Y237" s="74" t="b">
        <v>0</v>
      </c>
      <c r="Z237" s="148" t="str">
        <f>IFERROR(__xludf.DUMMYFUNCTION("""COMPUTED_VALUE"""),"")</f>
        <v/>
      </c>
      <c r="AA237" s="148" t="str">
        <f>IFERROR(__xludf.DUMMYFUNCTION("""COMPUTED_VALUE"""),"")</f>
        <v/>
      </c>
      <c r="AB237" s="148" t="str">
        <f>IFERROR(__xludf.DUMMYFUNCTION("""COMPUTED_VALUE"""),"")</f>
        <v/>
      </c>
      <c r="AC237" s="153"/>
      <c r="AD237" s="148"/>
      <c r="AE237" s="47"/>
      <c r="AF237" s="148" t="s">
        <v>613</v>
      </c>
      <c r="AG237" s="148"/>
      <c r="AH237" s="148"/>
      <c r="AI237" s="148" t="s">
        <v>614</v>
      </c>
      <c r="AJ237" s="148" t="s">
        <v>614</v>
      </c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</row>
    <row r="238" ht="14.25" customHeight="1">
      <c r="A238" s="134"/>
      <c r="B238" s="135"/>
      <c r="C238" s="77"/>
      <c r="D238" s="161"/>
      <c r="E238" s="136"/>
      <c r="F238" s="60"/>
      <c r="G238" s="62"/>
      <c r="H238" s="63"/>
      <c r="I238" s="138"/>
      <c r="J238" s="79"/>
      <c r="K238" s="80"/>
      <c r="L238" s="66"/>
      <c r="M238" s="81"/>
      <c r="N238" s="167"/>
      <c r="O238" s="87"/>
      <c r="P238" s="151"/>
      <c r="Q238" s="143"/>
      <c r="R238" s="74"/>
      <c r="S238" s="158"/>
      <c r="T238" s="146">
        <f t="shared" si="10"/>
        <v>0</v>
      </c>
      <c r="U238" s="146">
        <f t="shared" ref="U238:U255" si="27">round((O238*89)+(550*N238),-1)</f>
        <v>0</v>
      </c>
      <c r="V238" s="147"/>
      <c r="W238" s="74" t="b">
        <v>0</v>
      </c>
      <c r="X238" s="74" t="b">
        <v>0</v>
      </c>
      <c r="Y238" s="74" t="b">
        <v>0</v>
      </c>
      <c r="Z238" s="148" t="str">
        <f>IFERROR(__xludf.DUMMYFUNCTION("""COMPUTED_VALUE"""),"")</f>
        <v/>
      </c>
      <c r="AA238" s="148" t="str">
        <f>IFERROR(__xludf.DUMMYFUNCTION("""COMPUTED_VALUE"""),"")</f>
        <v/>
      </c>
      <c r="AB238" s="148" t="str">
        <f>IFERROR(__xludf.DUMMYFUNCTION("""COMPUTED_VALUE"""),"")</f>
        <v/>
      </c>
      <c r="AC238" s="153"/>
      <c r="AD238" s="148"/>
      <c r="AE238" s="47"/>
      <c r="AF238" s="148" t="s">
        <v>613</v>
      </c>
      <c r="AG238" s="148"/>
      <c r="AH238" s="148"/>
      <c r="AI238" s="148" t="s">
        <v>614</v>
      </c>
      <c r="AJ238" s="148" t="s">
        <v>614</v>
      </c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</row>
    <row r="239" ht="14.25" customHeight="1">
      <c r="A239" s="134"/>
      <c r="B239" s="135"/>
      <c r="C239" s="77"/>
      <c r="D239" s="161"/>
      <c r="E239" s="136"/>
      <c r="F239" s="60"/>
      <c r="G239" s="62"/>
      <c r="H239" s="63"/>
      <c r="I239" s="138"/>
      <c r="J239" s="79"/>
      <c r="K239" s="80"/>
      <c r="L239" s="66"/>
      <c r="M239" s="81"/>
      <c r="N239" s="167"/>
      <c r="O239" s="87"/>
      <c r="P239" s="151"/>
      <c r="Q239" s="143"/>
      <c r="R239" s="74"/>
      <c r="S239" s="158"/>
      <c r="T239" s="146">
        <f t="shared" si="10"/>
        <v>0</v>
      </c>
      <c r="U239" s="146">
        <f t="shared" si="27"/>
        <v>0</v>
      </c>
      <c r="V239" s="147"/>
      <c r="W239" s="74" t="b">
        <v>0</v>
      </c>
      <c r="X239" s="74" t="b">
        <v>0</v>
      </c>
      <c r="Y239" s="74" t="b">
        <v>0</v>
      </c>
      <c r="Z239" s="148" t="str">
        <f>IFERROR(__xludf.DUMMYFUNCTION("""COMPUTED_VALUE"""),"")</f>
        <v/>
      </c>
      <c r="AA239" s="148" t="str">
        <f>IFERROR(__xludf.DUMMYFUNCTION("""COMPUTED_VALUE"""),"")</f>
        <v/>
      </c>
      <c r="AB239" s="148" t="str">
        <f>IFERROR(__xludf.DUMMYFUNCTION("""COMPUTED_VALUE"""),"")</f>
        <v/>
      </c>
      <c r="AC239" s="153"/>
      <c r="AD239" s="148"/>
      <c r="AE239" s="47"/>
      <c r="AF239" s="148" t="s">
        <v>613</v>
      </c>
      <c r="AG239" s="148"/>
      <c r="AH239" s="148"/>
      <c r="AI239" s="148" t="s">
        <v>614</v>
      </c>
      <c r="AJ239" s="148" t="s">
        <v>614</v>
      </c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</row>
    <row r="240" ht="14.25" customHeight="1">
      <c r="A240" s="134"/>
      <c r="B240" s="135"/>
      <c r="C240" s="77"/>
      <c r="D240" s="161"/>
      <c r="E240" s="136"/>
      <c r="F240" s="60"/>
      <c r="G240" s="62"/>
      <c r="H240" s="63"/>
      <c r="I240" s="138"/>
      <c r="J240" s="79"/>
      <c r="K240" s="80"/>
      <c r="L240" s="66"/>
      <c r="M240" s="81"/>
      <c r="N240" s="167"/>
      <c r="O240" s="87"/>
      <c r="P240" s="151"/>
      <c r="Q240" s="143"/>
      <c r="R240" s="74"/>
      <c r="S240" s="158"/>
      <c r="T240" s="146">
        <f t="shared" si="10"/>
        <v>0</v>
      </c>
      <c r="U240" s="146">
        <f t="shared" si="27"/>
        <v>0</v>
      </c>
      <c r="V240" s="147"/>
      <c r="W240" s="74" t="b">
        <v>0</v>
      </c>
      <c r="X240" s="74" t="b">
        <v>0</v>
      </c>
      <c r="Y240" s="74" t="b">
        <v>0</v>
      </c>
      <c r="Z240" s="148" t="str">
        <f>IFERROR(__xludf.DUMMYFUNCTION("""COMPUTED_VALUE"""),"")</f>
        <v/>
      </c>
      <c r="AA240" s="148" t="str">
        <f>IFERROR(__xludf.DUMMYFUNCTION("""COMPUTED_VALUE"""),"")</f>
        <v/>
      </c>
      <c r="AB240" s="148" t="str">
        <f>IFERROR(__xludf.DUMMYFUNCTION("""COMPUTED_VALUE"""),"")</f>
        <v/>
      </c>
      <c r="AC240" s="153"/>
      <c r="AD240" s="148"/>
      <c r="AE240" s="47"/>
      <c r="AF240" s="148" t="s">
        <v>613</v>
      </c>
      <c r="AG240" s="148"/>
      <c r="AH240" s="148"/>
      <c r="AI240" s="148" t="s">
        <v>614</v>
      </c>
      <c r="AJ240" s="148" t="s">
        <v>614</v>
      </c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</row>
    <row r="241" ht="14.25" customHeight="1">
      <c r="A241" s="134"/>
      <c r="B241" s="135"/>
      <c r="C241" s="77"/>
      <c r="D241" s="161"/>
      <c r="E241" s="136"/>
      <c r="F241" s="60"/>
      <c r="G241" s="62"/>
      <c r="H241" s="63"/>
      <c r="I241" s="138"/>
      <c r="J241" s="79"/>
      <c r="K241" s="80"/>
      <c r="L241" s="66"/>
      <c r="M241" s="81"/>
      <c r="N241" s="167"/>
      <c r="O241" s="87"/>
      <c r="P241" s="151"/>
      <c r="Q241" s="143"/>
      <c r="R241" s="74"/>
      <c r="S241" s="158"/>
      <c r="T241" s="146">
        <f t="shared" si="10"/>
        <v>0</v>
      </c>
      <c r="U241" s="146">
        <f t="shared" si="27"/>
        <v>0</v>
      </c>
      <c r="V241" s="147"/>
      <c r="W241" s="74" t="b">
        <v>0</v>
      </c>
      <c r="X241" s="74" t="b">
        <v>0</v>
      </c>
      <c r="Y241" s="74" t="b">
        <v>0</v>
      </c>
      <c r="Z241" s="148" t="str">
        <f>IFERROR(__xludf.DUMMYFUNCTION("""COMPUTED_VALUE"""),"")</f>
        <v/>
      </c>
      <c r="AA241" s="148" t="str">
        <f>IFERROR(__xludf.DUMMYFUNCTION("""COMPUTED_VALUE"""),"")</f>
        <v/>
      </c>
      <c r="AB241" s="148" t="str">
        <f>IFERROR(__xludf.DUMMYFUNCTION("""COMPUTED_VALUE"""),"")</f>
        <v/>
      </c>
      <c r="AC241" s="153"/>
      <c r="AD241" s="148"/>
      <c r="AE241" s="47"/>
      <c r="AF241" s="148" t="s">
        <v>613</v>
      </c>
      <c r="AG241" s="148"/>
      <c r="AH241" s="148"/>
      <c r="AI241" s="148" t="s">
        <v>614</v>
      </c>
      <c r="AJ241" s="148" t="s">
        <v>614</v>
      </c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</row>
    <row r="242" ht="14.25" customHeight="1">
      <c r="A242" s="134"/>
      <c r="B242" s="135"/>
      <c r="C242" s="77"/>
      <c r="D242" s="161"/>
      <c r="E242" s="136"/>
      <c r="F242" s="60"/>
      <c r="G242" s="62"/>
      <c r="H242" s="63"/>
      <c r="I242" s="138"/>
      <c r="J242" s="79"/>
      <c r="K242" s="80"/>
      <c r="L242" s="66"/>
      <c r="M242" s="81"/>
      <c r="N242" s="167"/>
      <c r="O242" s="87"/>
      <c r="P242" s="151"/>
      <c r="Q242" s="143"/>
      <c r="R242" s="74"/>
      <c r="S242" s="158"/>
      <c r="T242" s="146">
        <f t="shared" si="10"/>
        <v>0</v>
      </c>
      <c r="U242" s="146">
        <f t="shared" si="27"/>
        <v>0</v>
      </c>
      <c r="V242" s="147"/>
      <c r="W242" s="74" t="b">
        <v>0</v>
      </c>
      <c r="X242" s="74" t="b">
        <v>0</v>
      </c>
      <c r="Y242" s="74" t="b">
        <v>0</v>
      </c>
      <c r="Z242" s="148" t="str">
        <f>IFERROR(__xludf.DUMMYFUNCTION("""COMPUTED_VALUE"""),"")</f>
        <v/>
      </c>
      <c r="AA242" s="148" t="str">
        <f>IFERROR(__xludf.DUMMYFUNCTION("""COMPUTED_VALUE"""),"")</f>
        <v/>
      </c>
      <c r="AB242" s="148" t="str">
        <f>IFERROR(__xludf.DUMMYFUNCTION("""COMPUTED_VALUE"""),"")</f>
        <v/>
      </c>
      <c r="AC242" s="153"/>
      <c r="AD242" s="148"/>
      <c r="AE242" s="47"/>
      <c r="AF242" s="148" t="s">
        <v>613</v>
      </c>
      <c r="AG242" s="148"/>
      <c r="AH242" s="148"/>
      <c r="AI242" s="148" t="s">
        <v>614</v>
      </c>
      <c r="AJ242" s="148" t="s">
        <v>614</v>
      </c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</row>
    <row r="243" ht="14.25" customHeight="1">
      <c r="A243" s="134"/>
      <c r="B243" s="135"/>
      <c r="C243" s="77"/>
      <c r="D243" s="161"/>
      <c r="E243" s="136"/>
      <c r="F243" s="60"/>
      <c r="G243" s="62"/>
      <c r="H243" s="63"/>
      <c r="I243" s="138"/>
      <c r="J243" s="79"/>
      <c r="K243" s="80"/>
      <c r="L243" s="66"/>
      <c r="M243" s="81"/>
      <c r="N243" s="167"/>
      <c r="O243" s="87"/>
      <c r="P243" s="151"/>
      <c r="Q243" s="143"/>
      <c r="R243" s="74"/>
      <c r="S243" s="158"/>
      <c r="T243" s="146">
        <f t="shared" si="10"/>
        <v>0</v>
      </c>
      <c r="U243" s="146">
        <f t="shared" si="27"/>
        <v>0</v>
      </c>
      <c r="V243" s="147"/>
      <c r="W243" s="74" t="b">
        <v>0</v>
      </c>
      <c r="X243" s="74" t="b">
        <v>0</v>
      </c>
      <c r="Y243" s="74" t="b">
        <v>0</v>
      </c>
      <c r="Z243" s="148" t="str">
        <f>IFERROR(__xludf.DUMMYFUNCTION("""COMPUTED_VALUE"""),"")</f>
        <v/>
      </c>
      <c r="AA243" s="148" t="str">
        <f>IFERROR(__xludf.DUMMYFUNCTION("""COMPUTED_VALUE"""),"")</f>
        <v/>
      </c>
      <c r="AB243" s="148" t="str">
        <f>IFERROR(__xludf.DUMMYFUNCTION("""COMPUTED_VALUE"""),"")</f>
        <v/>
      </c>
      <c r="AC243" s="153"/>
      <c r="AD243" s="148"/>
      <c r="AE243" s="47"/>
      <c r="AF243" s="148" t="s">
        <v>613</v>
      </c>
      <c r="AG243" s="148"/>
      <c r="AH243" s="148"/>
      <c r="AI243" s="148" t="s">
        <v>614</v>
      </c>
      <c r="AJ243" s="148" t="s">
        <v>614</v>
      </c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</row>
    <row r="244" ht="14.25" customHeight="1">
      <c r="A244" s="134"/>
      <c r="B244" s="135"/>
      <c r="C244" s="77"/>
      <c r="D244" s="161"/>
      <c r="E244" s="136"/>
      <c r="F244" s="60"/>
      <c r="G244" s="62"/>
      <c r="H244" s="63"/>
      <c r="I244" s="138"/>
      <c r="J244" s="79"/>
      <c r="K244" s="80"/>
      <c r="L244" s="66"/>
      <c r="M244" s="81"/>
      <c r="N244" s="167"/>
      <c r="O244" s="87"/>
      <c r="P244" s="151"/>
      <c r="Q244" s="143"/>
      <c r="R244" s="74"/>
      <c r="S244" s="158"/>
      <c r="T244" s="146">
        <f t="shared" si="10"/>
        <v>0</v>
      </c>
      <c r="U244" s="146">
        <f t="shared" si="27"/>
        <v>0</v>
      </c>
      <c r="V244" s="147"/>
      <c r="W244" s="74" t="b">
        <v>0</v>
      </c>
      <c r="X244" s="74" t="b">
        <v>0</v>
      </c>
      <c r="Y244" s="74" t="b">
        <v>0</v>
      </c>
      <c r="Z244" s="148" t="str">
        <f>IFERROR(__xludf.DUMMYFUNCTION("""COMPUTED_VALUE"""),"")</f>
        <v/>
      </c>
      <c r="AA244" s="148" t="str">
        <f>IFERROR(__xludf.DUMMYFUNCTION("""COMPUTED_VALUE"""),"")</f>
        <v/>
      </c>
      <c r="AB244" s="148" t="str">
        <f>IFERROR(__xludf.DUMMYFUNCTION("""COMPUTED_VALUE"""),"")</f>
        <v/>
      </c>
      <c r="AC244" s="153"/>
      <c r="AD244" s="148"/>
      <c r="AE244" s="47"/>
      <c r="AF244" s="148" t="s">
        <v>613</v>
      </c>
      <c r="AG244" s="148"/>
      <c r="AH244" s="148"/>
      <c r="AI244" s="148" t="s">
        <v>614</v>
      </c>
      <c r="AJ244" s="148" t="s">
        <v>614</v>
      </c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</row>
    <row r="245" ht="14.25" customHeight="1">
      <c r="A245" s="134"/>
      <c r="B245" s="135"/>
      <c r="C245" s="77"/>
      <c r="D245" s="161"/>
      <c r="E245" s="136"/>
      <c r="F245" s="60"/>
      <c r="G245" s="62"/>
      <c r="H245" s="63"/>
      <c r="I245" s="138"/>
      <c r="J245" s="79"/>
      <c r="K245" s="80"/>
      <c r="L245" s="66"/>
      <c r="M245" s="81"/>
      <c r="N245" s="167"/>
      <c r="O245" s="87"/>
      <c r="P245" s="151"/>
      <c r="Q245" s="143"/>
      <c r="R245" s="74"/>
      <c r="S245" s="158"/>
      <c r="T245" s="146">
        <f t="shared" si="10"/>
        <v>0</v>
      </c>
      <c r="U245" s="146">
        <f t="shared" si="27"/>
        <v>0</v>
      </c>
      <c r="V245" s="147"/>
      <c r="W245" s="74" t="b">
        <v>0</v>
      </c>
      <c r="X245" s="74" t="b">
        <v>0</v>
      </c>
      <c r="Y245" s="74" t="b">
        <v>0</v>
      </c>
      <c r="Z245" s="148" t="str">
        <f>IFERROR(__xludf.DUMMYFUNCTION("""COMPUTED_VALUE"""),"")</f>
        <v/>
      </c>
      <c r="AA245" s="148" t="str">
        <f>IFERROR(__xludf.DUMMYFUNCTION("""COMPUTED_VALUE"""),"")</f>
        <v/>
      </c>
      <c r="AB245" s="148" t="str">
        <f>IFERROR(__xludf.DUMMYFUNCTION("""COMPUTED_VALUE"""),"")</f>
        <v/>
      </c>
      <c r="AC245" s="153"/>
      <c r="AD245" s="148"/>
      <c r="AE245" s="47"/>
      <c r="AF245" s="148" t="s">
        <v>613</v>
      </c>
      <c r="AG245" s="148"/>
      <c r="AH245" s="148"/>
      <c r="AI245" s="148" t="s">
        <v>614</v>
      </c>
      <c r="AJ245" s="148" t="s">
        <v>614</v>
      </c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</row>
    <row r="246" ht="14.25" customHeight="1">
      <c r="A246" s="134"/>
      <c r="B246" s="135"/>
      <c r="C246" s="77"/>
      <c r="D246" s="161"/>
      <c r="E246" s="136"/>
      <c r="F246" s="60"/>
      <c r="G246" s="62"/>
      <c r="H246" s="63"/>
      <c r="I246" s="138"/>
      <c r="J246" s="79"/>
      <c r="K246" s="80"/>
      <c r="L246" s="66"/>
      <c r="M246" s="81"/>
      <c r="N246" s="167"/>
      <c r="O246" s="87"/>
      <c r="P246" s="151"/>
      <c r="Q246" s="143"/>
      <c r="R246" s="74"/>
      <c r="S246" s="158"/>
      <c r="T246" s="146">
        <f t="shared" si="10"/>
        <v>0</v>
      </c>
      <c r="U246" s="146">
        <f t="shared" si="27"/>
        <v>0</v>
      </c>
      <c r="V246" s="147"/>
      <c r="W246" s="74" t="b">
        <v>0</v>
      </c>
      <c r="X246" s="74" t="b">
        <v>0</v>
      </c>
      <c r="Y246" s="74" t="b">
        <v>0</v>
      </c>
      <c r="Z246" s="148" t="str">
        <f>IFERROR(__xludf.DUMMYFUNCTION("""COMPUTED_VALUE"""),"")</f>
        <v/>
      </c>
      <c r="AA246" s="148" t="str">
        <f>IFERROR(__xludf.DUMMYFUNCTION("""COMPUTED_VALUE"""),"")</f>
        <v/>
      </c>
      <c r="AB246" s="148" t="str">
        <f>IFERROR(__xludf.DUMMYFUNCTION("""COMPUTED_VALUE"""),"")</f>
        <v/>
      </c>
      <c r="AC246" s="153"/>
      <c r="AD246" s="148"/>
      <c r="AE246" s="47"/>
      <c r="AF246" s="148" t="s">
        <v>613</v>
      </c>
      <c r="AG246" s="148"/>
      <c r="AH246" s="148"/>
      <c r="AI246" s="148" t="s">
        <v>614</v>
      </c>
      <c r="AJ246" s="148" t="s">
        <v>614</v>
      </c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</row>
    <row r="247" ht="14.25" customHeight="1">
      <c r="A247" s="134"/>
      <c r="B247" s="135"/>
      <c r="C247" s="77"/>
      <c r="D247" s="161"/>
      <c r="E247" s="136"/>
      <c r="F247" s="60"/>
      <c r="G247" s="62"/>
      <c r="H247" s="63"/>
      <c r="I247" s="138"/>
      <c r="J247" s="79"/>
      <c r="K247" s="80"/>
      <c r="L247" s="66"/>
      <c r="M247" s="81"/>
      <c r="N247" s="167"/>
      <c r="O247" s="87"/>
      <c r="P247" s="151"/>
      <c r="Q247" s="143"/>
      <c r="R247" s="74"/>
      <c r="S247" s="158"/>
      <c r="T247" s="146">
        <f t="shared" si="10"/>
        <v>0</v>
      </c>
      <c r="U247" s="146">
        <f t="shared" si="27"/>
        <v>0</v>
      </c>
      <c r="V247" s="147"/>
      <c r="W247" s="74" t="b">
        <v>0</v>
      </c>
      <c r="X247" s="74" t="b">
        <v>0</v>
      </c>
      <c r="Y247" s="74" t="b">
        <v>0</v>
      </c>
      <c r="Z247" s="148" t="str">
        <f>IFERROR(__xludf.DUMMYFUNCTION("""COMPUTED_VALUE"""),"")</f>
        <v/>
      </c>
      <c r="AA247" s="148" t="str">
        <f>IFERROR(__xludf.DUMMYFUNCTION("""COMPUTED_VALUE"""),"")</f>
        <v/>
      </c>
      <c r="AB247" s="148" t="str">
        <f>IFERROR(__xludf.DUMMYFUNCTION("""COMPUTED_VALUE"""),"")</f>
        <v/>
      </c>
      <c r="AC247" s="153"/>
      <c r="AD247" s="148"/>
      <c r="AE247" s="47"/>
      <c r="AF247" s="148" t="s">
        <v>613</v>
      </c>
      <c r="AG247" s="148"/>
      <c r="AH247" s="148"/>
      <c r="AI247" s="148" t="s">
        <v>614</v>
      </c>
      <c r="AJ247" s="148" t="s">
        <v>614</v>
      </c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</row>
    <row r="248" ht="14.25" customHeight="1">
      <c r="A248" s="134"/>
      <c r="B248" s="135"/>
      <c r="C248" s="77"/>
      <c r="D248" s="161"/>
      <c r="E248" s="136"/>
      <c r="F248" s="60"/>
      <c r="G248" s="62"/>
      <c r="H248" s="63"/>
      <c r="I248" s="138"/>
      <c r="J248" s="79"/>
      <c r="K248" s="80"/>
      <c r="L248" s="66"/>
      <c r="M248" s="81"/>
      <c r="N248" s="167"/>
      <c r="O248" s="87"/>
      <c r="P248" s="151"/>
      <c r="Q248" s="143"/>
      <c r="R248" s="74"/>
      <c r="S248" s="158"/>
      <c r="T248" s="146">
        <f t="shared" si="10"/>
        <v>0</v>
      </c>
      <c r="U248" s="146">
        <f t="shared" si="27"/>
        <v>0</v>
      </c>
      <c r="V248" s="147"/>
      <c r="W248" s="74" t="b">
        <v>0</v>
      </c>
      <c r="X248" s="74" t="b">
        <v>0</v>
      </c>
      <c r="Y248" s="74" t="b">
        <v>0</v>
      </c>
      <c r="Z248" s="148" t="str">
        <f>IFERROR(__xludf.DUMMYFUNCTION("""COMPUTED_VALUE"""),"")</f>
        <v/>
      </c>
      <c r="AA248" s="148" t="str">
        <f>IFERROR(__xludf.DUMMYFUNCTION("""COMPUTED_VALUE"""),"")</f>
        <v/>
      </c>
      <c r="AB248" s="148" t="str">
        <f>IFERROR(__xludf.DUMMYFUNCTION("""COMPUTED_VALUE"""),"")</f>
        <v/>
      </c>
      <c r="AC248" s="153"/>
      <c r="AD248" s="148"/>
      <c r="AE248" s="47"/>
      <c r="AF248" s="148" t="s">
        <v>613</v>
      </c>
      <c r="AG248" s="148"/>
      <c r="AH248" s="148"/>
      <c r="AI248" s="148" t="s">
        <v>614</v>
      </c>
      <c r="AJ248" s="148" t="s">
        <v>614</v>
      </c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</row>
    <row r="249" ht="14.25" customHeight="1">
      <c r="A249" s="134"/>
      <c r="B249" s="135"/>
      <c r="C249" s="58"/>
      <c r="D249" s="166"/>
      <c r="E249" s="136"/>
      <c r="F249" s="60"/>
      <c r="G249" s="62"/>
      <c r="H249" s="63"/>
      <c r="I249" s="138"/>
      <c r="J249" s="63"/>
      <c r="K249" s="65"/>
      <c r="L249" s="66"/>
      <c r="M249" s="81"/>
      <c r="N249" s="167"/>
      <c r="O249" s="87"/>
      <c r="P249" s="142"/>
      <c r="Q249" s="143"/>
      <c r="R249" s="74"/>
      <c r="S249" s="158"/>
      <c r="T249" s="146">
        <f t="shared" si="10"/>
        <v>0</v>
      </c>
      <c r="U249" s="146">
        <f t="shared" si="27"/>
        <v>0</v>
      </c>
      <c r="V249" s="147"/>
      <c r="W249" s="74" t="b">
        <v>0</v>
      </c>
      <c r="X249" s="74" t="b">
        <v>0</v>
      </c>
      <c r="Y249" s="74" t="b">
        <v>0</v>
      </c>
      <c r="Z249" s="148" t="str">
        <f>IFERROR(__xludf.DUMMYFUNCTION("""COMPUTED_VALUE"""),"")</f>
        <v/>
      </c>
      <c r="AA249" s="148" t="str">
        <f>IFERROR(__xludf.DUMMYFUNCTION("""COMPUTED_VALUE"""),"")</f>
        <v/>
      </c>
      <c r="AB249" s="148" t="str">
        <f>IFERROR(__xludf.DUMMYFUNCTION("""COMPUTED_VALUE"""),"")</f>
        <v/>
      </c>
      <c r="AC249" s="149"/>
      <c r="AD249" s="148"/>
      <c r="AE249" s="148"/>
      <c r="AF249" s="148" t="s">
        <v>613</v>
      </c>
      <c r="AG249" s="148"/>
      <c r="AH249" s="148"/>
      <c r="AI249" s="148" t="s">
        <v>614</v>
      </c>
      <c r="AJ249" s="148" t="s">
        <v>614</v>
      </c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</row>
    <row r="250" ht="14.25" customHeight="1">
      <c r="A250" s="134"/>
      <c r="B250" s="135"/>
      <c r="C250" s="58"/>
      <c r="D250" s="166"/>
      <c r="E250" s="136"/>
      <c r="F250" s="60"/>
      <c r="G250" s="62"/>
      <c r="H250" s="63"/>
      <c r="I250" s="138"/>
      <c r="J250" s="63"/>
      <c r="K250" s="65"/>
      <c r="L250" s="66"/>
      <c r="M250" s="81"/>
      <c r="N250" s="167"/>
      <c r="O250" s="87"/>
      <c r="P250" s="142"/>
      <c r="Q250" s="143"/>
      <c r="R250" s="74"/>
      <c r="S250" s="158"/>
      <c r="T250" s="146">
        <f t="shared" si="10"/>
        <v>0</v>
      </c>
      <c r="U250" s="146">
        <f t="shared" si="27"/>
        <v>0</v>
      </c>
      <c r="V250" s="147"/>
      <c r="W250" s="74" t="b">
        <v>0</v>
      </c>
      <c r="X250" s="74" t="b">
        <v>0</v>
      </c>
      <c r="Y250" s="74" t="b">
        <v>0</v>
      </c>
      <c r="Z250" s="148" t="str">
        <f>IFERROR(__xludf.DUMMYFUNCTION("""COMPUTED_VALUE"""),"")</f>
        <v/>
      </c>
      <c r="AA250" s="148" t="str">
        <f>IFERROR(__xludf.DUMMYFUNCTION("""COMPUTED_VALUE"""),"")</f>
        <v/>
      </c>
      <c r="AB250" s="148" t="str">
        <f>IFERROR(__xludf.DUMMYFUNCTION("""COMPUTED_VALUE"""),"")</f>
        <v/>
      </c>
      <c r="AC250" s="149"/>
      <c r="AD250" s="148"/>
      <c r="AE250" s="148"/>
      <c r="AF250" s="148" t="s">
        <v>613</v>
      </c>
      <c r="AG250" s="148"/>
      <c r="AH250" s="148"/>
      <c r="AI250" s="148" t="s">
        <v>614</v>
      </c>
      <c r="AJ250" s="148" t="s">
        <v>614</v>
      </c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</row>
    <row r="251" ht="14.25" customHeight="1">
      <c r="A251" s="134"/>
      <c r="B251" s="135"/>
      <c r="C251" s="58"/>
      <c r="D251" s="166"/>
      <c r="E251" s="136"/>
      <c r="F251" s="60"/>
      <c r="G251" s="62"/>
      <c r="H251" s="63"/>
      <c r="I251" s="138"/>
      <c r="J251" s="63"/>
      <c r="K251" s="65"/>
      <c r="L251" s="66"/>
      <c r="M251" s="81"/>
      <c r="N251" s="167"/>
      <c r="O251" s="87"/>
      <c r="P251" s="142"/>
      <c r="Q251" s="143"/>
      <c r="R251" s="74"/>
      <c r="S251" s="158"/>
      <c r="T251" s="146">
        <f t="shared" si="10"/>
        <v>0</v>
      </c>
      <c r="U251" s="146">
        <f t="shared" si="27"/>
        <v>0</v>
      </c>
      <c r="V251" s="147"/>
      <c r="W251" s="74" t="b">
        <v>0</v>
      </c>
      <c r="X251" s="74" t="b">
        <v>0</v>
      </c>
      <c r="Y251" s="74" t="b">
        <v>0</v>
      </c>
      <c r="Z251" s="148" t="str">
        <f>IFERROR(__xludf.DUMMYFUNCTION("""COMPUTED_VALUE"""),"")</f>
        <v/>
      </c>
      <c r="AA251" s="148" t="str">
        <f>IFERROR(__xludf.DUMMYFUNCTION("""COMPUTED_VALUE"""),"")</f>
        <v/>
      </c>
      <c r="AB251" s="148" t="str">
        <f>IFERROR(__xludf.DUMMYFUNCTION("""COMPUTED_VALUE"""),"")</f>
        <v/>
      </c>
      <c r="AC251" s="149"/>
      <c r="AD251" s="148"/>
      <c r="AE251" s="148"/>
      <c r="AF251" s="148" t="s">
        <v>613</v>
      </c>
      <c r="AG251" s="148"/>
      <c r="AH251" s="148"/>
      <c r="AI251" s="148" t="s">
        <v>614</v>
      </c>
      <c r="AJ251" s="148" t="s">
        <v>614</v>
      </c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</row>
    <row r="252" ht="14.25" customHeight="1">
      <c r="A252" s="134"/>
      <c r="B252" s="135"/>
      <c r="C252" s="58"/>
      <c r="D252" s="166"/>
      <c r="E252" s="136"/>
      <c r="F252" s="60"/>
      <c r="G252" s="62"/>
      <c r="H252" s="63"/>
      <c r="I252" s="138"/>
      <c r="J252" s="63"/>
      <c r="K252" s="65"/>
      <c r="L252" s="66"/>
      <c r="M252" s="81"/>
      <c r="N252" s="167"/>
      <c r="O252" s="87"/>
      <c r="P252" s="142"/>
      <c r="Q252" s="143"/>
      <c r="R252" s="74"/>
      <c r="S252" s="158"/>
      <c r="T252" s="146">
        <f t="shared" si="10"/>
        <v>0</v>
      </c>
      <c r="U252" s="146">
        <f t="shared" si="27"/>
        <v>0</v>
      </c>
      <c r="V252" s="147"/>
      <c r="W252" s="74" t="b">
        <v>0</v>
      </c>
      <c r="X252" s="74" t="b">
        <v>0</v>
      </c>
      <c r="Y252" s="74" t="b">
        <v>0</v>
      </c>
      <c r="Z252" s="148" t="str">
        <f>IFERROR(__xludf.DUMMYFUNCTION("""COMPUTED_VALUE"""),"")</f>
        <v/>
      </c>
      <c r="AA252" s="148" t="str">
        <f>IFERROR(__xludf.DUMMYFUNCTION("""COMPUTED_VALUE"""),"")</f>
        <v/>
      </c>
      <c r="AB252" s="148" t="str">
        <f>IFERROR(__xludf.DUMMYFUNCTION("""COMPUTED_VALUE"""),"")</f>
        <v/>
      </c>
      <c r="AC252" s="149"/>
      <c r="AD252" s="148"/>
      <c r="AE252" s="148"/>
      <c r="AF252" s="148" t="s">
        <v>613</v>
      </c>
      <c r="AG252" s="148"/>
      <c r="AH252" s="148"/>
      <c r="AI252" s="148" t="s">
        <v>614</v>
      </c>
      <c r="AJ252" s="148" t="s">
        <v>614</v>
      </c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</row>
    <row r="253" ht="14.25" customHeight="1">
      <c r="A253" s="134"/>
      <c r="B253" s="135"/>
      <c r="C253" s="58"/>
      <c r="D253" s="166"/>
      <c r="E253" s="136"/>
      <c r="F253" s="60"/>
      <c r="G253" s="62"/>
      <c r="H253" s="63"/>
      <c r="I253" s="138"/>
      <c r="J253" s="63"/>
      <c r="K253" s="65"/>
      <c r="L253" s="66"/>
      <c r="M253" s="81"/>
      <c r="N253" s="167"/>
      <c r="O253" s="87"/>
      <c r="P253" s="142"/>
      <c r="Q253" s="143"/>
      <c r="R253" s="74"/>
      <c r="S253" s="158"/>
      <c r="T253" s="146">
        <f t="shared" si="10"/>
        <v>0</v>
      </c>
      <c r="U253" s="146">
        <f t="shared" si="27"/>
        <v>0</v>
      </c>
      <c r="V253" s="147"/>
      <c r="W253" s="74" t="b">
        <v>0</v>
      </c>
      <c r="X253" s="74" t="b">
        <v>0</v>
      </c>
      <c r="Y253" s="74" t="b">
        <v>0</v>
      </c>
      <c r="Z253" s="148" t="str">
        <f>IFERROR(__xludf.DUMMYFUNCTION("""COMPUTED_VALUE"""),"")</f>
        <v/>
      </c>
      <c r="AA253" s="148" t="str">
        <f>IFERROR(__xludf.DUMMYFUNCTION("""COMPUTED_VALUE"""),"")</f>
        <v/>
      </c>
      <c r="AB253" s="148" t="str">
        <f>IFERROR(__xludf.DUMMYFUNCTION("""COMPUTED_VALUE"""),"")</f>
        <v/>
      </c>
      <c r="AC253" s="149"/>
      <c r="AD253" s="148"/>
      <c r="AE253" s="148"/>
      <c r="AF253" s="148" t="s">
        <v>613</v>
      </c>
      <c r="AG253" s="148"/>
      <c r="AH253" s="148"/>
      <c r="AI253" s="148" t="s">
        <v>614</v>
      </c>
      <c r="AJ253" s="148" t="s">
        <v>614</v>
      </c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</row>
    <row r="254" ht="14.25" customHeight="1">
      <c r="A254" s="134"/>
      <c r="B254" s="135"/>
      <c r="C254" s="58"/>
      <c r="D254" s="166"/>
      <c r="E254" s="136"/>
      <c r="F254" s="60"/>
      <c r="G254" s="62"/>
      <c r="H254" s="63"/>
      <c r="I254" s="138"/>
      <c r="J254" s="63"/>
      <c r="K254" s="65"/>
      <c r="L254" s="66"/>
      <c r="M254" s="81"/>
      <c r="N254" s="167"/>
      <c r="O254" s="87"/>
      <c r="P254" s="142"/>
      <c r="Q254" s="143"/>
      <c r="R254" s="74"/>
      <c r="S254" s="158"/>
      <c r="T254" s="146">
        <f t="shared" si="10"/>
        <v>0</v>
      </c>
      <c r="U254" s="146">
        <f t="shared" si="27"/>
        <v>0</v>
      </c>
      <c r="V254" s="147"/>
      <c r="W254" s="74" t="b">
        <v>0</v>
      </c>
      <c r="X254" s="74" t="b">
        <v>0</v>
      </c>
      <c r="Y254" s="74" t="b">
        <v>0</v>
      </c>
      <c r="Z254" s="148" t="str">
        <f>IFERROR(__xludf.DUMMYFUNCTION("""COMPUTED_VALUE"""),"")</f>
        <v/>
      </c>
      <c r="AA254" s="148" t="str">
        <f>IFERROR(__xludf.DUMMYFUNCTION("""COMPUTED_VALUE"""),"")</f>
        <v/>
      </c>
      <c r="AB254" s="148" t="str">
        <f>IFERROR(__xludf.DUMMYFUNCTION("""COMPUTED_VALUE"""),"")</f>
        <v/>
      </c>
      <c r="AC254" s="149"/>
      <c r="AD254" s="148"/>
      <c r="AE254" s="148"/>
      <c r="AF254" s="148" t="s">
        <v>613</v>
      </c>
      <c r="AG254" s="148"/>
      <c r="AH254" s="148"/>
      <c r="AI254" s="148" t="s">
        <v>614</v>
      </c>
      <c r="AJ254" s="148" t="s">
        <v>614</v>
      </c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</row>
    <row r="255" ht="14.25" customHeight="1">
      <c r="A255" s="134"/>
      <c r="B255" s="135"/>
      <c r="C255" s="58"/>
      <c r="D255" s="166"/>
      <c r="E255" s="136"/>
      <c r="F255" s="60"/>
      <c r="G255" s="62"/>
      <c r="H255" s="63"/>
      <c r="I255" s="138"/>
      <c r="J255" s="63"/>
      <c r="K255" s="65"/>
      <c r="L255" s="66"/>
      <c r="M255" s="81"/>
      <c r="N255" s="167"/>
      <c r="O255" s="87"/>
      <c r="P255" s="142"/>
      <c r="Q255" s="143"/>
      <c r="R255" s="74"/>
      <c r="S255" s="158"/>
      <c r="T255" s="146">
        <f t="shared" si="10"/>
        <v>0</v>
      </c>
      <c r="U255" s="146">
        <f t="shared" si="27"/>
        <v>0</v>
      </c>
      <c r="V255" s="147"/>
      <c r="W255" s="74" t="b">
        <v>0</v>
      </c>
      <c r="X255" s="74" t="b">
        <v>0</v>
      </c>
      <c r="Y255" s="74" t="b">
        <v>0</v>
      </c>
      <c r="Z255" s="148" t="str">
        <f>IFERROR(__xludf.DUMMYFUNCTION("""COMPUTED_VALUE"""),"")</f>
        <v/>
      </c>
      <c r="AA255" s="148" t="str">
        <f>IFERROR(__xludf.DUMMYFUNCTION("""COMPUTED_VALUE"""),"")</f>
        <v/>
      </c>
      <c r="AB255" s="148" t="str">
        <f>IFERROR(__xludf.DUMMYFUNCTION("""COMPUTED_VALUE"""),"")</f>
        <v/>
      </c>
      <c r="AC255" s="149"/>
      <c r="AD255" s="148"/>
      <c r="AE255" s="148"/>
      <c r="AF255" s="148" t="s">
        <v>613</v>
      </c>
      <c r="AG255" s="148"/>
      <c r="AH255" s="148"/>
      <c r="AI255" s="148" t="s">
        <v>614</v>
      </c>
      <c r="AJ255" s="148" t="s">
        <v>614</v>
      </c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</row>
    <row r="256" ht="14.25" customHeight="1">
      <c r="A256" s="134"/>
      <c r="B256" s="135"/>
      <c r="C256" s="58"/>
      <c r="D256" s="166"/>
      <c r="E256" s="136"/>
      <c r="F256" s="60"/>
      <c r="G256" s="62"/>
      <c r="H256" s="154"/>
      <c r="I256" s="138"/>
      <c r="J256" s="63"/>
      <c r="K256" s="65"/>
      <c r="L256" s="66"/>
      <c r="M256" s="81"/>
      <c r="N256" s="167"/>
      <c r="O256" s="87"/>
      <c r="P256" s="142"/>
      <c r="Q256" s="143"/>
      <c r="R256" s="74"/>
      <c r="S256" s="158"/>
      <c r="T256" s="146">
        <f t="shared" si="10"/>
        <v>0</v>
      </c>
      <c r="U256" s="146">
        <f>round((O256*48)+(550*N256),-1)</f>
        <v>0</v>
      </c>
      <c r="V256" s="147"/>
      <c r="W256" s="74" t="b">
        <v>0</v>
      </c>
      <c r="X256" s="74" t="b">
        <v>0</v>
      </c>
      <c r="Y256" s="74" t="b">
        <v>0</v>
      </c>
      <c r="Z256" s="148" t="str">
        <f>IFERROR(__xludf.DUMMYFUNCTION("""COMPUTED_VALUE"""),"")</f>
        <v/>
      </c>
      <c r="AA256" s="148" t="str">
        <f>IFERROR(__xludf.DUMMYFUNCTION("""COMPUTED_VALUE"""),"")</f>
        <v/>
      </c>
      <c r="AB256" s="148" t="str">
        <f>IFERROR(__xludf.DUMMYFUNCTION("""COMPUTED_VALUE"""),"")</f>
        <v/>
      </c>
      <c r="AC256" s="149"/>
      <c r="AD256" s="148"/>
      <c r="AE256" s="148"/>
      <c r="AF256" s="148" t="s">
        <v>613</v>
      </c>
      <c r="AG256" s="148"/>
      <c r="AH256" s="148"/>
      <c r="AI256" s="148" t="s">
        <v>614</v>
      </c>
      <c r="AJ256" s="148" t="s">
        <v>614</v>
      </c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</row>
    <row r="257" ht="14.25" customHeight="1">
      <c r="A257" s="134"/>
      <c r="B257" s="135"/>
      <c r="C257" s="58"/>
      <c r="D257" s="166"/>
      <c r="E257" s="136"/>
      <c r="F257" s="60"/>
      <c r="G257" s="62"/>
      <c r="H257" s="63"/>
      <c r="I257" s="138"/>
      <c r="J257" s="63"/>
      <c r="K257" s="65"/>
      <c r="L257" s="66"/>
      <c r="M257" s="169"/>
      <c r="N257" s="170"/>
      <c r="O257" s="69"/>
      <c r="P257" s="142"/>
      <c r="Q257" s="143"/>
      <c r="R257" s="74"/>
      <c r="S257" s="158"/>
      <c r="T257" s="146">
        <f t="shared" si="10"/>
        <v>1008</v>
      </c>
      <c r="U257" s="146">
        <f>round((O257*89)+(550*3.057)+(0.03*0.5)+(0.425*0.5),-1)</f>
        <v>1680</v>
      </c>
      <c r="V257" s="147"/>
      <c r="W257" s="74" t="b">
        <v>0</v>
      </c>
      <c r="X257" s="74" t="b">
        <v>0</v>
      </c>
      <c r="Y257" s="74" t="b">
        <v>0</v>
      </c>
      <c r="Z257" s="148" t="str">
        <f>IFERROR(__xludf.DUMMYFUNCTION("""COMPUTED_VALUE"""),"")</f>
        <v/>
      </c>
      <c r="AA257" s="148" t="str">
        <f>IFERROR(__xludf.DUMMYFUNCTION("""COMPUTED_VALUE"""),"")</f>
        <v/>
      </c>
      <c r="AB257" s="148" t="str">
        <f>IFERROR(__xludf.DUMMYFUNCTION("""COMPUTED_VALUE"""),"")</f>
        <v/>
      </c>
      <c r="AC257" s="149"/>
      <c r="AD257" s="148"/>
      <c r="AE257" s="148"/>
      <c r="AF257" s="148" t="s">
        <v>613</v>
      </c>
      <c r="AG257" s="148"/>
      <c r="AH257" s="148"/>
      <c r="AI257" s="148" t="s">
        <v>614</v>
      </c>
      <c r="AJ257" s="148" t="s">
        <v>614</v>
      </c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</row>
    <row r="258" ht="14.25" customHeight="1">
      <c r="A258" s="134"/>
      <c r="B258" s="135"/>
      <c r="C258" s="58"/>
      <c r="D258" s="166"/>
      <c r="E258" s="136"/>
      <c r="F258" s="60"/>
      <c r="G258" s="90"/>
      <c r="H258" s="63"/>
      <c r="I258" s="138"/>
      <c r="J258" s="63"/>
      <c r="K258" s="65"/>
      <c r="L258" s="66"/>
      <c r="M258" s="81"/>
      <c r="N258" s="167"/>
      <c r="O258" s="87"/>
      <c r="P258" s="142"/>
      <c r="Q258" s="143"/>
      <c r="R258" s="74"/>
      <c r="S258" s="158"/>
      <c r="T258" s="146">
        <f t="shared" si="10"/>
        <v>0</v>
      </c>
      <c r="U258" s="146">
        <f>round((O258*89)+(10*N258),-1)</f>
        <v>0</v>
      </c>
      <c r="V258" s="147"/>
      <c r="W258" s="74" t="b">
        <v>0</v>
      </c>
      <c r="X258" s="74" t="b">
        <v>0</v>
      </c>
      <c r="Y258" s="74" t="b">
        <v>0</v>
      </c>
      <c r="Z258" s="148" t="str">
        <f>IFERROR(__xludf.DUMMYFUNCTION("""COMPUTED_VALUE"""),"")</f>
        <v/>
      </c>
      <c r="AA258" s="148" t="str">
        <f>IFERROR(__xludf.DUMMYFUNCTION("""COMPUTED_VALUE"""),"")</f>
        <v/>
      </c>
      <c r="AB258" s="148" t="str">
        <f>IFERROR(__xludf.DUMMYFUNCTION("""COMPUTED_VALUE"""),"")</f>
        <v/>
      </c>
      <c r="AC258" s="149"/>
      <c r="AD258" s="148"/>
      <c r="AE258" s="148"/>
      <c r="AF258" s="148" t="s">
        <v>613</v>
      </c>
      <c r="AG258" s="148"/>
      <c r="AH258" s="148"/>
      <c r="AI258" s="148" t="s">
        <v>614</v>
      </c>
      <c r="AJ258" s="148" t="s">
        <v>614</v>
      </c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</row>
    <row r="259" ht="14.25" customHeight="1">
      <c r="A259" s="134"/>
      <c r="B259" s="135"/>
      <c r="C259" s="58"/>
      <c r="D259" s="166"/>
      <c r="E259" s="136"/>
      <c r="F259" s="60"/>
      <c r="G259" s="62"/>
      <c r="H259" s="63"/>
      <c r="I259" s="138"/>
      <c r="J259" s="63"/>
      <c r="K259" s="65"/>
      <c r="L259" s="66"/>
      <c r="M259" s="81"/>
      <c r="N259" s="167"/>
      <c r="O259" s="87"/>
      <c r="P259" s="142"/>
      <c r="Q259" s="143"/>
      <c r="R259" s="74"/>
      <c r="S259" s="158"/>
      <c r="T259" s="146">
        <f t="shared" si="10"/>
        <v>0</v>
      </c>
      <c r="U259" s="146">
        <f>round((O259*89)+(550*N259),-1)</f>
        <v>0</v>
      </c>
      <c r="V259" s="147"/>
      <c r="W259" s="74" t="b">
        <v>0</v>
      </c>
      <c r="X259" s="74" t="b">
        <v>0</v>
      </c>
      <c r="Y259" s="74" t="b">
        <v>0</v>
      </c>
      <c r="Z259" s="148" t="str">
        <f>IFERROR(__xludf.DUMMYFUNCTION("""COMPUTED_VALUE"""),"")</f>
        <v/>
      </c>
      <c r="AA259" s="148" t="str">
        <f>IFERROR(__xludf.DUMMYFUNCTION("""COMPUTED_VALUE"""),"")</f>
        <v/>
      </c>
      <c r="AB259" s="148" t="str">
        <f>IFERROR(__xludf.DUMMYFUNCTION("""COMPUTED_VALUE"""),"")</f>
        <v/>
      </c>
      <c r="AC259" s="149"/>
      <c r="AD259" s="148"/>
      <c r="AE259" s="148"/>
      <c r="AF259" s="148" t="s">
        <v>613</v>
      </c>
      <c r="AG259" s="148"/>
      <c r="AH259" s="148"/>
      <c r="AI259" s="148" t="s">
        <v>614</v>
      </c>
      <c r="AJ259" s="148" t="s">
        <v>614</v>
      </c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</row>
    <row r="260" ht="14.25" customHeight="1">
      <c r="A260" s="134"/>
      <c r="B260" s="135"/>
      <c r="C260" s="58"/>
      <c r="D260" s="166"/>
      <c r="E260" s="136"/>
      <c r="F260" s="60"/>
      <c r="G260" s="90"/>
      <c r="H260" s="154"/>
      <c r="I260" s="138"/>
      <c r="J260" s="63"/>
      <c r="K260" s="65"/>
      <c r="L260" s="66"/>
      <c r="M260" s="81"/>
      <c r="N260" s="167"/>
      <c r="O260" s="87"/>
      <c r="P260" s="142"/>
      <c r="Q260" s="143"/>
      <c r="R260" s="74"/>
      <c r="S260" s="158"/>
      <c r="T260" s="146">
        <f t="shared" si="10"/>
        <v>0</v>
      </c>
      <c r="U260" s="146">
        <f t="shared" ref="U260:U261" si="28">round((O260*119)+(550*N260),-1)</f>
        <v>0</v>
      </c>
      <c r="V260" s="147"/>
      <c r="W260" s="74" t="b">
        <v>0</v>
      </c>
      <c r="X260" s="74" t="b">
        <v>0</v>
      </c>
      <c r="Y260" s="74" t="b">
        <v>0</v>
      </c>
      <c r="Z260" s="148" t="str">
        <f>IFERROR(__xludf.DUMMYFUNCTION("""COMPUTED_VALUE"""),"")</f>
        <v/>
      </c>
      <c r="AA260" s="148" t="str">
        <f>IFERROR(__xludf.DUMMYFUNCTION("""COMPUTED_VALUE"""),"")</f>
        <v/>
      </c>
      <c r="AB260" s="148" t="str">
        <f>IFERROR(__xludf.DUMMYFUNCTION("""COMPUTED_VALUE"""),"")</f>
        <v/>
      </c>
      <c r="AC260" s="149"/>
      <c r="AD260" s="148"/>
      <c r="AE260" s="148"/>
      <c r="AF260" s="148" t="s">
        <v>613</v>
      </c>
      <c r="AG260" s="148"/>
      <c r="AH260" s="148"/>
      <c r="AI260" s="148" t="s">
        <v>614</v>
      </c>
      <c r="AJ260" s="148" t="s">
        <v>614</v>
      </c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</row>
    <row r="261" ht="14.25" customHeight="1">
      <c r="A261" s="134"/>
      <c r="B261" s="135"/>
      <c r="C261" s="58"/>
      <c r="D261" s="166"/>
      <c r="E261" s="136"/>
      <c r="F261" s="60"/>
      <c r="G261" s="90"/>
      <c r="H261" s="154"/>
      <c r="I261" s="138"/>
      <c r="J261" s="63"/>
      <c r="K261" s="65"/>
      <c r="L261" s="66"/>
      <c r="M261" s="81"/>
      <c r="N261" s="167"/>
      <c r="O261" s="87"/>
      <c r="P261" s="142"/>
      <c r="Q261" s="143"/>
      <c r="R261" s="74"/>
      <c r="S261" s="158"/>
      <c r="T261" s="146">
        <f t="shared" si="10"/>
        <v>0</v>
      </c>
      <c r="U261" s="146">
        <f t="shared" si="28"/>
        <v>0</v>
      </c>
      <c r="V261" s="147"/>
      <c r="W261" s="74" t="b">
        <v>0</v>
      </c>
      <c r="X261" s="74" t="b">
        <v>0</v>
      </c>
      <c r="Y261" s="74" t="b">
        <v>0</v>
      </c>
      <c r="Z261" s="148" t="str">
        <f>IFERROR(__xludf.DUMMYFUNCTION("""COMPUTED_VALUE"""),"")</f>
        <v/>
      </c>
      <c r="AA261" s="148" t="str">
        <f>IFERROR(__xludf.DUMMYFUNCTION("""COMPUTED_VALUE"""),"")</f>
        <v/>
      </c>
      <c r="AB261" s="148" t="str">
        <f>IFERROR(__xludf.DUMMYFUNCTION("""COMPUTED_VALUE"""),"")</f>
        <v/>
      </c>
      <c r="AC261" s="149"/>
      <c r="AD261" s="148"/>
      <c r="AE261" s="148"/>
      <c r="AF261" s="148" t="s">
        <v>613</v>
      </c>
      <c r="AG261" s="148"/>
      <c r="AH261" s="148"/>
      <c r="AI261" s="148" t="s">
        <v>614</v>
      </c>
      <c r="AJ261" s="148" t="s">
        <v>614</v>
      </c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</row>
    <row r="262" ht="14.25" customHeight="1">
      <c r="A262" s="134"/>
      <c r="B262" s="135"/>
      <c r="C262" s="58"/>
      <c r="D262" s="166"/>
      <c r="E262" s="136"/>
      <c r="F262" s="60"/>
      <c r="G262" s="90"/>
      <c r="H262" s="63"/>
      <c r="I262" s="138"/>
      <c r="J262" s="63"/>
      <c r="K262" s="65"/>
      <c r="L262" s="66"/>
      <c r="M262" s="81"/>
      <c r="N262" s="167"/>
      <c r="O262" s="87"/>
      <c r="P262" s="142"/>
      <c r="Q262" s="143"/>
      <c r="R262" s="74"/>
      <c r="S262" s="158"/>
      <c r="T262" s="146">
        <f t="shared" si="10"/>
        <v>0</v>
      </c>
      <c r="U262" s="146">
        <f t="shared" ref="U262:U274" si="29">round((O262*89)+(550*N262),-1)</f>
        <v>0</v>
      </c>
      <c r="V262" s="147"/>
      <c r="W262" s="74" t="b">
        <v>0</v>
      </c>
      <c r="X262" s="74" t="b">
        <v>0</v>
      </c>
      <c r="Y262" s="74" t="b">
        <v>0</v>
      </c>
      <c r="Z262" s="148" t="str">
        <f>IFERROR(__xludf.DUMMYFUNCTION("""COMPUTED_VALUE"""),"")</f>
        <v/>
      </c>
      <c r="AA262" s="148" t="str">
        <f>IFERROR(__xludf.DUMMYFUNCTION("""COMPUTED_VALUE"""),"")</f>
        <v/>
      </c>
      <c r="AB262" s="148" t="str">
        <f>IFERROR(__xludf.DUMMYFUNCTION("""COMPUTED_VALUE"""),"")</f>
        <v/>
      </c>
      <c r="AC262" s="149"/>
      <c r="AD262" s="148"/>
      <c r="AE262" s="148"/>
      <c r="AF262" s="148" t="s">
        <v>613</v>
      </c>
      <c r="AG262" s="148"/>
      <c r="AH262" s="148"/>
      <c r="AI262" s="148" t="s">
        <v>614</v>
      </c>
      <c r="AJ262" s="148" t="s">
        <v>614</v>
      </c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</row>
    <row r="263" ht="14.25" customHeight="1">
      <c r="A263" s="134"/>
      <c r="B263" s="135"/>
      <c r="C263" s="58"/>
      <c r="D263" s="166"/>
      <c r="E263" s="136"/>
      <c r="F263" s="60"/>
      <c r="G263" s="90"/>
      <c r="H263" s="63"/>
      <c r="I263" s="138"/>
      <c r="J263" s="63"/>
      <c r="K263" s="65"/>
      <c r="L263" s="66"/>
      <c r="M263" s="81"/>
      <c r="N263" s="167"/>
      <c r="O263" s="87"/>
      <c r="P263" s="142"/>
      <c r="Q263" s="143"/>
      <c r="R263" s="74"/>
      <c r="S263" s="158"/>
      <c r="T263" s="146">
        <f t="shared" si="10"/>
        <v>0</v>
      </c>
      <c r="U263" s="146">
        <f t="shared" si="29"/>
        <v>0</v>
      </c>
      <c r="V263" s="147"/>
      <c r="W263" s="74" t="b">
        <v>0</v>
      </c>
      <c r="X263" s="74" t="b">
        <v>0</v>
      </c>
      <c r="Y263" s="74" t="b">
        <v>0</v>
      </c>
      <c r="Z263" s="148" t="str">
        <f>IFERROR(__xludf.DUMMYFUNCTION("""COMPUTED_VALUE"""),"")</f>
        <v/>
      </c>
      <c r="AA263" s="148" t="str">
        <f>IFERROR(__xludf.DUMMYFUNCTION("""COMPUTED_VALUE"""),"")</f>
        <v/>
      </c>
      <c r="AB263" s="148" t="str">
        <f>IFERROR(__xludf.DUMMYFUNCTION("""COMPUTED_VALUE"""),"")</f>
        <v/>
      </c>
      <c r="AC263" s="149"/>
      <c r="AD263" s="148"/>
      <c r="AE263" s="148"/>
      <c r="AF263" s="148" t="s">
        <v>613</v>
      </c>
      <c r="AG263" s="148"/>
      <c r="AH263" s="148"/>
      <c r="AI263" s="148" t="s">
        <v>614</v>
      </c>
      <c r="AJ263" s="148" t="s">
        <v>614</v>
      </c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</row>
    <row r="264" ht="14.25" customHeight="1">
      <c r="A264" s="134"/>
      <c r="B264" s="135"/>
      <c r="C264" s="58"/>
      <c r="D264" s="166"/>
      <c r="E264" s="136"/>
      <c r="F264" s="60"/>
      <c r="G264" s="90"/>
      <c r="H264" s="63"/>
      <c r="I264" s="138"/>
      <c r="J264" s="63"/>
      <c r="K264" s="65"/>
      <c r="L264" s="66"/>
      <c r="M264" s="81"/>
      <c r="N264" s="167"/>
      <c r="O264" s="87"/>
      <c r="P264" s="142"/>
      <c r="Q264" s="143"/>
      <c r="R264" s="74"/>
      <c r="S264" s="158"/>
      <c r="T264" s="146">
        <f t="shared" si="10"/>
        <v>0</v>
      </c>
      <c r="U264" s="146">
        <f t="shared" si="29"/>
        <v>0</v>
      </c>
      <c r="V264" s="147"/>
      <c r="W264" s="74" t="b">
        <v>0</v>
      </c>
      <c r="X264" s="74" t="b">
        <v>0</v>
      </c>
      <c r="Y264" s="74" t="b">
        <v>0</v>
      </c>
      <c r="Z264" s="148" t="str">
        <f>IFERROR(__xludf.DUMMYFUNCTION("""COMPUTED_VALUE"""),"")</f>
        <v/>
      </c>
      <c r="AA264" s="148" t="str">
        <f>IFERROR(__xludf.DUMMYFUNCTION("""COMPUTED_VALUE"""),"")</f>
        <v/>
      </c>
      <c r="AB264" s="148" t="str">
        <f>IFERROR(__xludf.DUMMYFUNCTION("""COMPUTED_VALUE"""),"")</f>
        <v/>
      </c>
      <c r="AC264" s="149"/>
      <c r="AD264" s="148"/>
      <c r="AE264" s="148"/>
      <c r="AF264" s="148" t="s">
        <v>613</v>
      </c>
      <c r="AG264" s="148"/>
      <c r="AH264" s="148"/>
      <c r="AI264" s="148" t="s">
        <v>614</v>
      </c>
      <c r="AJ264" s="148" t="s">
        <v>614</v>
      </c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</row>
    <row r="265" ht="14.25" customHeight="1">
      <c r="A265" s="134"/>
      <c r="B265" s="135"/>
      <c r="C265" s="58"/>
      <c r="D265" s="166"/>
      <c r="E265" s="136"/>
      <c r="F265" s="60"/>
      <c r="G265" s="90"/>
      <c r="H265" s="63"/>
      <c r="I265" s="138"/>
      <c r="J265" s="63"/>
      <c r="K265" s="65"/>
      <c r="L265" s="66"/>
      <c r="M265" s="81"/>
      <c r="N265" s="167"/>
      <c r="O265" s="87"/>
      <c r="P265" s="142"/>
      <c r="Q265" s="143"/>
      <c r="R265" s="74"/>
      <c r="S265" s="158"/>
      <c r="T265" s="146">
        <f t="shared" si="10"/>
        <v>0</v>
      </c>
      <c r="U265" s="146">
        <f t="shared" si="29"/>
        <v>0</v>
      </c>
      <c r="V265" s="147"/>
      <c r="W265" s="74" t="b">
        <v>0</v>
      </c>
      <c r="X265" s="74" t="b">
        <v>0</v>
      </c>
      <c r="Y265" s="74" t="b">
        <v>0</v>
      </c>
      <c r="Z265" s="148" t="str">
        <f>IFERROR(__xludf.DUMMYFUNCTION("""COMPUTED_VALUE"""),"")</f>
        <v/>
      </c>
      <c r="AA265" s="148" t="str">
        <f>IFERROR(__xludf.DUMMYFUNCTION("""COMPUTED_VALUE"""),"")</f>
        <v/>
      </c>
      <c r="AB265" s="148" t="str">
        <f>IFERROR(__xludf.DUMMYFUNCTION("""COMPUTED_VALUE"""),"")</f>
        <v/>
      </c>
      <c r="AC265" s="149"/>
      <c r="AD265" s="148"/>
      <c r="AE265" s="148"/>
      <c r="AF265" s="148" t="s">
        <v>613</v>
      </c>
      <c r="AG265" s="148"/>
      <c r="AH265" s="148"/>
      <c r="AI265" s="148" t="s">
        <v>614</v>
      </c>
      <c r="AJ265" s="148" t="s">
        <v>614</v>
      </c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</row>
    <row r="266" ht="14.25" customHeight="1">
      <c r="A266" s="134"/>
      <c r="B266" s="135"/>
      <c r="C266" s="58"/>
      <c r="D266" s="166"/>
      <c r="E266" s="136"/>
      <c r="F266" s="60"/>
      <c r="G266" s="90"/>
      <c r="H266" s="63"/>
      <c r="I266" s="138"/>
      <c r="J266" s="63"/>
      <c r="K266" s="65"/>
      <c r="L266" s="66"/>
      <c r="M266" s="81"/>
      <c r="N266" s="167"/>
      <c r="O266" s="87"/>
      <c r="P266" s="142"/>
      <c r="Q266" s="143"/>
      <c r="R266" s="74"/>
      <c r="S266" s="158"/>
      <c r="T266" s="146">
        <f t="shared" si="10"/>
        <v>0</v>
      </c>
      <c r="U266" s="146">
        <f t="shared" si="29"/>
        <v>0</v>
      </c>
      <c r="V266" s="147"/>
      <c r="W266" s="74" t="b">
        <v>0</v>
      </c>
      <c r="X266" s="74" t="b">
        <v>0</v>
      </c>
      <c r="Y266" s="74" t="b">
        <v>0</v>
      </c>
      <c r="Z266" s="148" t="str">
        <f>IFERROR(__xludf.DUMMYFUNCTION("""COMPUTED_VALUE"""),"")</f>
        <v/>
      </c>
      <c r="AA266" s="148" t="str">
        <f>IFERROR(__xludf.DUMMYFUNCTION("""COMPUTED_VALUE"""),"")</f>
        <v/>
      </c>
      <c r="AB266" s="148" t="str">
        <f>IFERROR(__xludf.DUMMYFUNCTION("""COMPUTED_VALUE"""),"")</f>
        <v/>
      </c>
      <c r="AC266" s="149"/>
      <c r="AD266" s="148"/>
      <c r="AE266" s="148"/>
      <c r="AF266" s="148" t="s">
        <v>613</v>
      </c>
      <c r="AG266" s="148"/>
      <c r="AH266" s="148"/>
      <c r="AI266" s="148" t="s">
        <v>614</v>
      </c>
      <c r="AJ266" s="148" t="s">
        <v>614</v>
      </c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</row>
    <row r="267" ht="14.25" customHeight="1">
      <c r="A267" s="134"/>
      <c r="B267" s="135"/>
      <c r="C267" s="58"/>
      <c r="D267" s="166"/>
      <c r="E267" s="136"/>
      <c r="F267" s="60"/>
      <c r="G267" s="90"/>
      <c r="H267" s="63"/>
      <c r="I267" s="138"/>
      <c r="J267" s="63"/>
      <c r="K267" s="65"/>
      <c r="L267" s="66"/>
      <c r="M267" s="81"/>
      <c r="N267" s="167"/>
      <c r="O267" s="87"/>
      <c r="P267" s="142"/>
      <c r="Q267" s="143"/>
      <c r="R267" s="74"/>
      <c r="S267" s="158"/>
      <c r="T267" s="146">
        <f t="shared" si="10"/>
        <v>0</v>
      </c>
      <c r="U267" s="146">
        <f t="shared" si="29"/>
        <v>0</v>
      </c>
      <c r="V267" s="147"/>
      <c r="W267" s="74" t="b">
        <v>0</v>
      </c>
      <c r="X267" s="74" t="b">
        <v>0</v>
      </c>
      <c r="Y267" s="74" t="b">
        <v>0</v>
      </c>
      <c r="Z267" s="148" t="str">
        <f>IFERROR(__xludf.DUMMYFUNCTION("""COMPUTED_VALUE"""),"")</f>
        <v/>
      </c>
      <c r="AA267" s="148" t="str">
        <f>IFERROR(__xludf.DUMMYFUNCTION("""COMPUTED_VALUE"""),"")</f>
        <v/>
      </c>
      <c r="AB267" s="148" t="str">
        <f>IFERROR(__xludf.DUMMYFUNCTION("""COMPUTED_VALUE"""),"")</f>
        <v/>
      </c>
      <c r="AC267" s="149"/>
      <c r="AD267" s="148"/>
      <c r="AE267" s="148"/>
      <c r="AF267" s="148" t="s">
        <v>613</v>
      </c>
      <c r="AG267" s="148"/>
      <c r="AH267" s="148"/>
      <c r="AI267" s="148" t="s">
        <v>614</v>
      </c>
      <c r="AJ267" s="148" t="s">
        <v>614</v>
      </c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</row>
    <row r="268" ht="14.25" customHeight="1">
      <c r="A268" s="134"/>
      <c r="B268" s="135"/>
      <c r="C268" s="58"/>
      <c r="D268" s="166"/>
      <c r="E268" s="136"/>
      <c r="F268" s="60"/>
      <c r="G268" s="90"/>
      <c r="H268" s="63"/>
      <c r="I268" s="138"/>
      <c r="J268" s="63"/>
      <c r="K268" s="65"/>
      <c r="L268" s="66"/>
      <c r="M268" s="81"/>
      <c r="N268" s="167"/>
      <c r="O268" s="87"/>
      <c r="P268" s="142"/>
      <c r="Q268" s="143"/>
      <c r="R268" s="74"/>
      <c r="S268" s="158"/>
      <c r="T268" s="146">
        <f t="shared" si="10"/>
        <v>0</v>
      </c>
      <c r="U268" s="146">
        <f t="shared" si="29"/>
        <v>0</v>
      </c>
      <c r="V268" s="147"/>
      <c r="W268" s="74" t="b">
        <v>0</v>
      </c>
      <c r="X268" s="74" t="b">
        <v>0</v>
      </c>
      <c r="Y268" s="74" t="b">
        <v>0</v>
      </c>
      <c r="Z268" s="148" t="str">
        <f>IFERROR(__xludf.DUMMYFUNCTION("""COMPUTED_VALUE"""),"")</f>
        <v/>
      </c>
      <c r="AA268" s="148" t="str">
        <f>IFERROR(__xludf.DUMMYFUNCTION("""COMPUTED_VALUE"""),"")</f>
        <v/>
      </c>
      <c r="AB268" s="148" t="str">
        <f>IFERROR(__xludf.DUMMYFUNCTION("""COMPUTED_VALUE"""),"")</f>
        <v/>
      </c>
      <c r="AC268" s="149"/>
      <c r="AD268" s="148"/>
      <c r="AE268" s="148"/>
      <c r="AF268" s="148" t="s">
        <v>613</v>
      </c>
      <c r="AG268" s="148"/>
      <c r="AH268" s="148"/>
      <c r="AI268" s="148" t="s">
        <v>614</v>
      </c>
      <c r="AJ268" s="148" t="s">
        <v>614</v>
      </c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</row>
    <row r="269" ht="14.25" customHeight="1">
      <c r="A269" s="134"/>
      <c r="B269" s="135"/>
      <c r="C269" s="58"/>
      <c r="D269" s="166"/>
      <c r="E269" s="136"/>
      <c r="F269" s="60"/>
      <c r="G269" s="90"/>
      <c r="H269" s="63"/>
      <c r="I269" s="138"/>
      <c r="J269" s="63"/>
      <c r="K269" s="65"/>
      <c r="L269" s="66"/>
      <c r="M269" s="81"/>
      <c r="N269" s="167"/>
      <c r="O269" s="87"/>
      <c r="P269" s="142"/>
      <c r="Q269" s="143"/>
      <c r="R269" s="74"/>
      <c r="S269" s="158"/>
      <c r="T269" s="146">
        <f t="shared" si="10"/>
        <v>0</v>
      </c>
      <c r="U269" s="146">
        <f t="shared" si="29"/>
        <v>0</v>
      </c>
      <c r="V269" s="147"/>
      <c r="W269" s="74" t="b">
        <v>0</v>
      </c>
      <c r="X269" s="74" t="b">
        <v>0</v>
      </c>
      <c r="Y269" s="74" t="b">
        <v>0</v>
      </c>
      <c r="Z269" s="148" t="str">
        <f>IFERROR(__xludf.DUMMYFUNCTION("""COMPUTED_VALUE"""),"")</f>
        <v/>
      </c>
      <c r="AA269" s="148" t="str">
        <f>IFERROR(__xludf.DUMMYFUNCTION("""COMPUTED_VALUE"""),"")</f>
        <v/>
      </c>
      <c r="AB269" s="148" t="str">
        <f>IFERROR(__xludf.DUMMYFUNCTION("""COMPUTED_VALUE"""),"")</f>
        <v/>
      </c>
      <c r="AC269" s="149"/>
      <c r="AD269" s="148"/>
      <c r="AE269" s="148"/>
      <c r="AF269" s="148" t="s">
        <v>613</v>
      </c>
      <c r="AG269" s="148"/>
      <c r="AH269" s="148"/>
      <c r="AI269" s="148" t="s">
        <v>614</v>
      </c>
      <c r="AJ269" s="148" t="s">
        <v>614</v>
      </c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</row>
    <row r="270" ht="14.25" customHeight="1">
      <c r="A270" s="134"/>
      <c r="B270" s="135"/>
      <c r="C270" s="58"/>
      <c r="D270" s="166"/>
      <c r="E270" s="136"/>
      <c r="F270" s="60"/>
      <c r="G270" s="90"/>
      <c r="H270" s="63"/>
      <c r="I270" s="138"/>
      <c r="J270" s="63"/>
      <c r="K270" s="65"/>
      <c r="L270" s="66"/>
      <c r="M270" s="81"/>
      <c r="N270" s="167"/>
      <c r="O270" s="87"/>
      <c r="P270" s="142"/>
      <c r="Q270" s="143"/>
      <c r="R270" s="74"/>
      <c r="S270" s="158"/>
      <c r="T270" s="146">
        <f t="shared" si="10"/>
        <v>0</v>
      </c>
      <c r="U270" s="146">
        <f t="shared" si="29"/>
        <v>0</v>
      </c>
      <c r="V270" s="147"/>
      <c r="W270" s="74" t="b">
        <v>0</v>
      </c>
      <c r="X270" s="74" t="b">
        <v>0</v>
      </c>
      <c r="Y270" s="74" t="b">
        <v>0</v>
      </c>
      <c r="Z270" s="148" t="str">
        <f>IFERROR(__xludf.DUMMYFUNCTION("""COMPUTED_VALUE"""),"")</f>
        <v/>
      </c>
      <c r="AA270" s="148" t="str">
        <f>IFERROR(__xludf.DUMMYFUNCTION("""COMPUTED_VALUE"""),"")</f>
        <v/>
      </c>
      <c r="AB270" s="148" t="str">
        <f>IFERROR(__xludf.DUMMYFUNCTION("""COMPUTED_VALUE"""),"")</f>
        <v/>
      </c>
      <c r="AC270" s="149"/>
      <c r="AD270" s="148"/>
      <c r="AE270" s="148"/>
      <c r="AF270" s="148" t="s">
        <v>613</v>
      </c>
      <c r="AG270" s="148"/>
      <c r="AH270" s="148"/>
      <c r="AI270" s="148" t="s">
        <v>614</v>
      </c>
      <c r="AJ270" s="148" t="s">
        <v>614</v>
      </c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</row>
    <row r="271" ht="14.25" customHeight="1">
      <c r="A271" s="134"/>
      <c r="B271" s="135"/>
      <c r="C271" s="58"/>
      <c r="D271" s="166"/>
      <c r="E271" s="136"/>
      <c r="F271" s="60"/>
      <c r="G271" s="90"/>
      <c r="H271" s="63"/>
      <c r="I271" s="138"/>
      <c r="J271" s="63"/>
      <c r="K271" s="65"/>
      <c r="L271" s="66"/>
      <c r="M271" s="81"/>
      <c r="N271" s="167"/>
      <c r="O271" s="87"/>
      <c r="P271" s="142"/>
      <c r="Q271" s="143"/>
      <c r="R271" s="74"/>
      <c r="S271" s="158"/>
      <c r="T271" s="146">
        <f t="shared" si="10"/>
        <v>0</v>
      </c>
      <c r="U271" s="146">
        <f t="shared" si="29"/>
        <v>0</v>
      </c>
      <c r="V271" s="147"/>
      <c r="W271" s="74" t="b">
        <v>0</v>
      </c>
      <c r="X271" s="74" t="b">
        <v>0</v>
      </c>
      <c r="Y271" s="74" t="b">
        <v>0</v>
      </c>
      <c r="Z271" s="148" t="str">
        <f>IFERROR(__xludf.DUMMYFUNCTION("""COMPUTED_VALUE"""),"")</f>
        <v/>
      </c>
      <c r="AA271" s="148" t="str">
        <f>IFERROR(__xludf.DUMMYFUNCTION("""COMPUTED_VALUE"""),"")</f>
        <v/>
      </c>
      <c r="AB271" s="148" t="str">
        <f>IFERROR(__xludf.DUMMYFUNCTION("""COMPUTED_VALUE"""),"")</f>
        <v/>
      </c>
      <c r="AC271" s="149"/>
      <c r="AD271" s="148"/>
      <c r="AE271" s="148"/>
      <c r="AF271" s="148" t="s">
        <v>613</v>
      </c>
      <c r="AG271" s="148"/>
      <c r="AH271" s="148"/>
      <c r="AI271" s="148" t="s">
        <v>614</v>
      </c>
      <c r="AJ271" s="148" t="s">
        <v>614</v>
      </c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</row>
    <row r="272" ht="14.25" customHeight="1">
      <c r="A272" s="134"/>
      <c r="B272" s="135"/>
      <c r="C272" s="58"/>
      <c r="D272" s="166"/>
      <c r="E272" s="136"/>
      <c r="F272" s="60"/>
      <c r="G272" s="90"/>
      <c r="H272" s="63"/>
      <c r="I272" s="138"/>
      <c r="J272" s="63"/>
      <c r="K272" s="65"/>
      <c r="L272" s="66"/>
      <c r="M272" s="81"/>
      <c r="N272" s="167"/>
      <c r="O272" s="87"/>
      <c r="P272" s="142"/>
      <c r="Q272" s="143"/>
      <c r="R272" s="74"/>
      <c r="S272" s="158"/>
      <c r="T272" s="146">
        <f t="shared" si="10"/>
        <v>0</v>
      </c>
      <c r="U272" s="146">
        <f t="shared" si="29"/>
        <v>0</v>
      </c>
      <c r="V272" s="147"/>
      <c r="W272" s="74" t="b">
        <v>0</v>
      </c>
      <c r="X272" s="74" t="b">
        <v>0</v>
      </c>
      <c r="Y272" s="74" t="b">
        <v>0</v>
      </c>
      <c r="Z272" s="148" t="str">
        <f>IFERROR(__xludf.DUMMYFUNCTION("""COMPUTED_VALUE"""),"")</f>
        <v/>
      </c>
      <c r="AA272" s="148" t="str">
        <f>IFERROR(__xludf.DUMMYFUNCTION("""COMPUTED_VALUE"""),"")</f>
        <v/>
      </c>
      <c r="AB272" s="148" t="str">
        <f>IFERROR(__xludf.DUMMYFUNCTION("""COMPUTED_VALUE"""),"")</f>
        <v/>
      </c>
      <c r="AC272" s="149"/>
      <c r="AD272" s="148"/>
      <c r="AE272" s="148"/>
      <c r="AF272" s="148" t="s">
        <v>613</v>
      </c>
      <c r="AG272" s="148"/>
      <c r="AH272" s="148"/>
      <c r="AI272" s="148" t="s">
        <v>614</v>
      </c>
      <c r="AJ272" s="148" t="s">
        <v>614</v>
      </c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</row>
    <row r="273" ht="14.25" customHeight="1">
      <c r="A273" s="134"/>
      <c r="B273" s="135"/>
      <c r="C273" s="58"/>
      <c r="D273" s="166"/>
      <c r="E273" s="136"/>
      <c r="F273" s="60"/>
      <c r="G273" s="90"/>
      <c r="H273" s="63"/>
      <c r="I273" s="138"/>
      <c r="J273" s="63"/>
      <c r="K273" s="65"/>
      <c r="L273" s="66"/>
      <c r="M273" s="81"/>
      <c r="N273" s="167"/>
      <c r="O273" s="87"/>
      <c r="P273" s="142"/>
      <c r="Q273" s="143"/>
      <c r="R273" s="74"/>
      <c r="S273" s="158"/>
      <c r="T273" s="146">
        <f t="shared" si="10"/>
        <v>0</v>
      </c>
      <c r="U273" s="146">
        <f t="shared" si="29"/>
        <v>0</v>
      </c>
      <c r="V273" s="147"/>
      <c r="W273" s="74" t="b">
        <v>0</v>
      </c>
      <c r="X273" s="74" t="b">
        <v>0</v>
      </c>
      <c r="Y273" s="74" t="b">
        <v>0</v>
      </c>
      <c r="Z273" s="148" t="str">
        <f>IFERROR(__xludf.DUMMYFUNCTION("""COMPUTED_VALUE"""),"")</f>
        <v/>
      </c>
      <c r="AA273" s="148" t="str">
        <f>IFERROR(__xludf.DUMMYFUNCTION("""COMPUTED_VALUE"""),"")</f>
        <v/>
      </c>
      <c r="AB273" s="148" t="str">
        <f>IFERROR(__xludf.DUMMYFUNCTION("""COMPUTED_VALUE"""),"")</f>
        <v/>
      </c>
      <c r="AC273" s="149"/>
      <c r="AD273" s="148"/>
      <c r="AE273" s="148"/>
      <c r="AF273" s="148" t="s">
        <v>613</v>
      </c>
      <c r="AG273" s="148"/>
      <c r="AH273" s="148"/>
      <c r="AI273" s="148" t="s">
        <v>614</v>
      </c>
      <c r="AJ273" s="148" t="s">
        <v>614</v>
      </c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</row>
    <row r="274" ht="14.25" customHeight="1">
      <c r="A274" s="134"/>
      <c r="B274" s="135"/>
      <c r="C274" s="58"/>
      <c r="D274" s="166"/>
      <c r="E274" s="136"/>
      <c r="F274" s="60"/>
      <c r="G274" s="90"/>
      <c r="H274" s="63"/>
      <c r="I274" s="138"/>
      <c r="J274" s="63"/>
      <c r="K274" s="65"/>
      <c r="L274" s="66"/>
      <c r="M274" s="81"/>
      <c r="N274" s="167"/>
      <c r="O274" s="87"/>
      <c r="P274" s="142"/>
      <c r="Q274" s="143"/>
      <c r="R274" s="74"/>
      <c r="S274" s="158"/>
      <c r="T274" s="146">
        <f t="shared" si="10"/>
        <v>0</v>
      </c>
      <c r="U274" s="146">
        <f t="shared" si="29"/>
        <v>0</v>
      </c>
      <c r="V274" s="147"/>
      <c r="W274" s="74" t="b">
        <v>0</v>
      </c>
      <c r="X274" s="74" t="b">
        <v>0</v>
      </c>
      <c r="Y274" s="74" t="b">
        <v>0</v>
      </c>
      <c r="Z274" s="148" t="str">
        <f>IFERROR(__xludf.DUMMYFUNCTION("""COMPUTED_VALUE"""),"")</f>
        <v/>
      </c>
      <c r="AA274" s="148" t="str">
        <f>IFERROR(__xludf.DUMMYFUNCTION("""COMPUTED_VALUE"""),"")</f>
        <v/>
      </c>
      <c r="AB274" s="148" t="str">
        <f>IFERROR(__xludf.DUMMYFUNCTION("""COMPUTED_VALUE"""),"")</f>
        <v/>
      </c>
      <c r="AC274" s="149"/>
      <c r="AD274" s="148"/>
      <c r="AE274" s="148"/>
      <c r="AF274" s="148" t="s">
        <v>613</v>
      </c>
      <c r="AG274" s="148"/>
      <c r="AH274" s="148"/>
      <c r="AI274" s="148" t="s">
        <v>614</v>
      </c>
      <c r="AJ274" s="148" t="s">
        <v>614</v>
      </c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</row>
    <row r="275" ht="14.25" customHeight="1">
      <c r="A275" s="134"/>
      <c r="B275" s="135"/>
      <c r="C275" s="58"/>
      <c r="D275" s="166"/>
      <c r="E275" s="136"/>
      <c r="F275" s="60"/>
      <c r="G275" s="90"/>
      <c r="H275" s="154"/>
      <c r="I275" s="138"/>
      <c r="J275" s="63"/>
      <c r="K275" s="65"/>
      <c r="L275" s="66"/>
      <c r="M275" s="81"/>
      <c r="N275" s="167"/>
      <c r="O275" s="87"/>
      <c r="P275" s="142"/>
      <c r="Q275" s="143"/>
      <c r="R275" s="74"/>
      <c r="S275" s="158"/>
      <c r="T275" s="146">
        <f t="shared" si="10"/>
        <v>0</v>
      </c>
      <c r="U275" s="146">
        <f>round((O275*48)+(550*N275),-1)</f>
        <v>0</v>
      </c>
      <c r="V275" s="147"/>
      <c r="W275" s="74" t="b">
        <v>0</v>
      </c>
      <c r="X275" s="74" t="b">
        <v>0</v>
      </c>
      <c r="Y275" s="74" t="b">
        <v>0</v>
      </c>
      <c r="Z275" s="148" t="str">
        <f>IFERROR(__xludf.DUMMYFUNCTION("""COMPUTED_VALUE"""),"")</f>
        <v/>
      </c>
      <c r="AA275" s="148" t="str">
        <f>IFERROR(__xludf.DUMMYFUNCTION("""COMPUTED_VALUE"""),"")</f>
        <v/>
      </c>
      <c r="AB275" s="148" t="str">
        <f>IFERROR(__xludf.DUMMYFUNCTION("""COMPUTED_VALUE"""),"")</f>
        <v/>
      </c>
      <c r="AC275" s="149"/>
      <c r="AD275" s="148"/>
      <c r="AE275" s="148"/>
      <c r="AF275" s="148" t="s">
        <v>613</v>
      </c>
      <c r="AG275" s="148"/>
      <c r="AH275" s="148"/>
      <c r="AI275" s="148" t="s">
        <v>614</v>
      </c>
      <c r="AJ275" s="148" t="s">
        <v>614</v>
      </c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</row>
    <row r="276" ht="14.25" customHeight="1">
      <c r="A276" s="134"/>
      <c r="B276" s="135"/>
      <c r="C276" s="58"/>
      <c r="D276" s="166"/>
      <c r="E276" s="136"/>
      <c r="F276" s="60"/>
      <c r="G276" s="90"/>
      <c r="H276" s="63"/>
      <c r="I276" s="138"/>
      <c r="J276" s="63"/>
      <c r="K276" s="65"/>
      <c r="L276" s="66"/>
      <c r="M276" s="81"/>
      <c r="N276" s="167"/>
      <c r="O276" s="87"/>
      <c r="P276" s="142"/>
      <c r="Q276" s="143"/>
      <c r="R276" s="74"/>
      <c r="S276" s="158"/>
      <c r="T276" s="146">
        <f t="shared" si="10"/>
        <v>0</v>
      </c>
      <c r="U276" s="146">
        <f t="shared" ref="U276:U280" si="30">round((O276*89)+(550*N276),-1)</f>
        <v>0</v>
      </c>
      <c r="V276" s="147"/>
      <c r="W276" s="74" t="b">
        <v>0</v>
      </c>
      <c r="X276" s="74" t="b">
        <v>0</v>
      </c>
      <c r="Y276" s="74" t="b">
        <v>0</v>
      </c>
      <c r="Z276" s="148" t="str">
        <f>IFERROR(__xludf.DUMMYFUNCTION("""COMPUTED_VALUE"""),"")</f>
        <v/>
      </c>
      <c r="AA276" s="148" t="str">
        <f>IFERROR(__xludf.DUMMYFUNCTION("""COMPUTED_VALUE"""),"")</f>
        <v/>
      </c>
      <c r="AB276" s="148" t="str">
        <f>IFERROR(__xludf.DUMMYFUNCTION("""COMPUTED_VALUE"""),"")</f>
        <v/>
      </c>
      <c r="AC276" s="149"/>
      <c r="AD276" s="148"/>
      <c r="AE276" s="148"/>
      <c r="AF276" s="148" t="s">
        <v>613</v>
      </c>
      <c r="AG276" s="148"/>
      <c r="AH276" s="148"/>
      <c r="AI276" s="148" t="s">
        <v>614</v>
      </c>
      <c r="AJ276" s="148" t="s">
        <v>614</v>
      </c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</row>
    <row r="277" ht="14.25" customHeight="1">
      <c r="A277" s="134"/>
      <c r="B277" s="135"/>
      <c r="C277" s="58"/>
      <c r="D277" s="166"/>
      <c r="E277" s="136"/>
      <c r="F277" s="60"/>
      <c r="G277" s="90"/>
      <c r="H277" s="63"/>
      <c r="I277" s="138"/>
      <c r="J277" s="63"/>
      <c r="K277" s="65"/>
      <c r="L277" s="66"/>
      <c r="M277" s="81"/>
      <c r="N277" s="167"/>
      <c r="O277" s="87"/>
      <c r="P277" s="142"/>
      <c r="Q277" s="143"/>
      <c r="R277" s="74"/>
      <c r="S277" s="158"/>
      <c r="T277" s="146">
        <f t="shared" si="10"/>
        <v>0</v>
      </c>
      <c r="U277" s="146">
        <f t="shared" si="30"/>
        <v>0</v>
      </c>
      <c r="V277" s="147"/>
      <c r="W277" s="74" t="b">
        <v>0</v>
      </c>
      <c r="X277" s="74" t="b">
        <v>0</v>
      </c>
      <c r="Y277" s="74" t="b">
        <v>0</v>
      </c>
      <c r="Z277" s="148" t="str">
        <f>IFERROR(__xludf.DUMMYFUNCTION("""COMPUTED_VALUE"""),"")</f>
        <v/>
      </c>
      <c r="AA277" s="148" t="str">
        <f>IFERROR(__xludf.DUMMYFUNCTION("""COMPUTED_VALUE"""),"")</f>
        <v/>
      </c>
      <c r="AB277" s="148" t="str">
        <f>IFERROR(__xludf.DUMMYFUNCTION("""COMPUTED_VALUE"""),"")</f>
        <v/>
      </c>
      <c r="AC277" s="149"/>
      <c r="AD277" s="148"/>
      <c r="AE277" s="148"/>
      <c r="AF277" s="148" t="s">
        <v>613</v>
      </c>
      <c r="AG277" s="148"/>
      <c r="AH277" s="148"/>
      <c r="AI277" s="148" t="s">
        <v>614</v>
      </c>
      <c r="AJ277" s="148" t="s">
        <v>614</v>
      </c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</row>
    <row r="278" ht="14.25" customHeight="1">
      <c r="A278" s="134"/>
      <c r="B278" s="135"/>
      <c r="C278" s="58"/>
      <c r="D278" s="166"/>
      <c r="E278" s="136"/>
      <c r="F278" s="60"/>
      <c r="G278" s="90"/>
      <c r="H278" s="63"/>
      <c r="I278" s="138"/>
      <c r="J278" s="63"/>
      <c r="K278" s="65"/>
      <c r="L278" s="66"/>
      <c r="M278" s="81"/>
      <c r="N278" s="167"/>
      <c r="O278" s="87"/>
      <c r="P278" s="142"/>
      <c r="Q278" s="143"/>
      <c r="R278" s="74"/>
      <c r="S278" s="158"/>
      <c r="T278" s="146">
        <f t="shared" si="10"/>
        <v>0</v>
      </c>
      <c r="U278" s="146">
        <f t="shared" si="30"/>
        <v>0</v>
      </c>
      <c r="V278" s="147"/>
      <c r="W278" s="74" t="b">
        <v>0</v>
      </c>
      <c r="X278" s="74" t="b">
        <v>0</v>
      </c>
      <c r="Y278" s="74" t="b">
        <v>0</v>
      </c>
      <c r="Z278" s="148" t="str">
        <f>IFERROR(__xludf.DUMMYFUNCTION("""COMPUTED_VALUE"""),"")</f>
        <v/>
      </c>
      <c r="AA278" s="148" t="str">
        <f>IFERROR(__xludf.DUMMYFUNCTION("""COMPUTED_VALUE"""),"")</f>
        <v/>
      </c>
      <c r="AB278" s="148" t="str">
        <f>IFERROR(__xludf.DUMMYFUNCTION("""COMPUTED_VALUE"""),"")</f>
        <v/>
      </c>
      <c r="AC278" s="149"/>
      <c r="AD278" s="148"/>
      <c r="AE278" s="148"/>
      <c r="AF278" s="148" t="s">
        <v>613</v>
      </c>
      <c r="AG278" s="148"/>
      <c r="AH278" s="148"/>
      <c r="AI278" s="148" t="s">
        <v>614</v>
      </c>
      <c r="AJ278" s="148" t="s">
        <v>614</v>
      </c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</row>
    <row r="279" ht="14.25" customHeight="1">
      <c r="A279" s="134"/>
      <c r="B279" s="135"/>
      <c r="C279" s="58"/>
      <c r="D279" s="166"/>
      <c r="E279" s="136"/>
      <c r="F279" s="60"/>
      <c r="G279" s="90"/>
      <c r="H279" s="63"/>
      <c r="I279" s="138"/>
      <c r="J279" s="63"/>
      <c r="K279" s="65"/>
      <c r="L279" s="66"/>
      <c r="M279" s="81"/>
      <c r="N279" s="167"/>
      <c r="O279" s="87"/>
      <c r="P279" s="142"/>
      <c r="Q279" s="143"/>
      <c r="R279" s="74"/>
      <c r="S279" s="158"/>
      <c r="T279" s="146">
        <f t="shared" si="10"/>
        <v>0</v>
      </c>
      <c r="U279" s="146">
        <f t="shared" si="30"/>
        <v>0</v>
      </c>
      <c r="V279" s="147"/>
      <c r="W279" s="74" t="b">
        <v>0</v>
      </c>
      <c r="X279" s="74" t="b">
        <v>0</v>
      </c>
      <c r="Y279" s="74" t="b">
        <v>0</v>
      </c>
      <c r="Z279" s="148" t="str">
        <f>IFERROR(__xludf.DUMMYFUNCTION("""COMPUTED_VALUE"""),"")</f>
        <v/>
      </c>
      <c r="AA279" s="148" t="str">
        <f>IFERROR(__xludf.DUMMYFUNCTION("""COMPUTED_VALUE"""),"")</f>
        <v/>
      </c>
      <c r="AB279" s="148" t="str">
        <f>IFERROR(__xludf.DUMMYFUNCTION("""COMPUTED_VALUE"""),"")</f>
        <v/>
      </c>
      <c r="AC279" s="149"/>
      <c r="AD279" s="148"/>
      <c r="AE279" s="148"/>
      <c r="AF279" s="148" t="s">
        <v>613</v>
      </c>
      <c r="AG279" s="148"/>
      <c r="AH279" s="148"/>
      <c r="AI279" s="148" t="s">
        <v>614</v>
      </c>
      <c r="AJ279" s="148" t="s">
        <v>614</v>
      </c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</row>
    <row r="280" ht="14.25" customHeight="1">
      <c r="A280" s="134"/>
      <c r="B280" s="135"/>
      <c r="C280" s="58"/>
      <c r="D280" s="166"/>
      <c r="E280" s="136"/>
      <c r="F280" s="60"/>
      <c r="G280" s="90"/>
      <c r="H280" s="63"/>
      <c r="I280" s="138"/>
      <c r="J280" s="63"/>
      <c r="K280" s="65"/>
      <c r="L280" s="66"/>
      <c r="M280" s="81"/>
      <c r="N280" s="167"/>
      <c r="O280" s="87"/>
      <c r="P280" s="142"/>
      <c r="Q280" s="143"/>
      <c r="R280" s="74"/>
      <c r="S280" s="158"/>
      <c r="T280" s="146">
        <f t="shared" si="10"/>
        <v>0</v>
      </c>
      <c r="U280" s="146">
        <f t="shared" si="30"/>
        <v>0</v>
      </c>
      <c r="V280" s="147"/>
      <c r="W280" s="74" t="b">
        <v>0</v>
      </c>
      <c r="X280" s="74" t="b">
        <v>0</v>
      </c>
      <c r="Y280" s="74" t="b">
        <v>0</v>
      </c>
      <c r="Z280" s="148" t="str">
        <f>IFERROR(__xludf.DUMMYFUNCTION("""COMPUTED_VALUE"""),"")</f>
        <v/>
      </c>
      <c r="AA280" s="148" t="str">
        <f>IFERROR(__xludf.DUMMYFUNCTION("""COMPUTED_VALUE"""),"")</f>
        <v/>
      </c>
      <c r="AB280" s="148" t="str">
        <f>IFERROR(__xludf.DUMMYFUNCTION("""COMPUTED_VALUE"""),"")</f>
        <v/>
      </c>
      <c r="AC280" s="149"/>
      <c r="AD280" s="148"/>
      <c r="AE280" s="148"/>
      <c r="AF280" s="148" t="s">
        <v>613</v>
      </c>
      <c r="AG280" s="148"/>
      <c r="AH280" s="148"/>
      <c r="AI280" s="148" t="s">
        <v>614</v>
      </c>
      <c r="AJ280" s="148" t="s">
        <v>614</v>
      </c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</row>
    <row r="281" ht="14.25" customHeight="1">
      <c r="A281" s="134"/>
      <c r="B281" s="135"/>
      <c r="C281" s="58"/>
      <c r="D281" s="166"/>
      <c r="E281" s="136"/>
      <c r="F281" s="60"/>
      <c r="G281" s="90"/>
      <c r="H281" s="154"/>
      <c r="I281" s="138"/>
      <c r="J281" s="63"/>
      <c r="K281" s="65"/>
      <c r="L281" s="66"/>
      <c r="M281" s="81"/>
      <c r="N281" s="167"/>
      <c r="O281" s="87"/>
      <c r="P281" s="142"/>
      <c r="Q281" s="143"/>
      <c r="R281" s="74"/>
      <c r="S281" s="158"/>
      <c r="T281" s="146">
        <f t="shared" si="10"/>
        <v>0</v>
      </c>
      <c r="U281" s="146">
        <f>round((O281*119)+(550*N281),-1)</f>
        <v>0</v>
      </c>
      <c r="V281" s="147"/>
      <c r="W281" s="74" t="b">
        <v>0</v>
      </c>
      <c r="X281" s="74" t="b">
        <v>0</v>
      </c>
      <c r="Y281" s="74" t="b">
        <v>0</v>
      </c>
      <c r="Z281" s="148" t="str">
        <f>IFERROR(__xludf.DUMMYFUNCTION("""COMPUTED_VALUE"""),"")</f>
        <v/>
      </c>
      <c r="AA281" s="148" t="str">
        <f>IFERROR(__xludf.DUMMYFUNCTION("""COMPUTED_VALUE"""),"")</f>
        <v/>
      </c>
      <c r="AB281" s="148" t="str">
        <f>IFERROR(__xludf.DUMMYFUNCTION("""COMPUTED_VALUE"""),"")</f>
        <v/>
      </c>
      <c r="AC281" s="149"/>
      <c r="AD281" s="148"/>
      <c r="AE281" s="148"/>
      <c r="AF281" s="148" t="s">
        <v>613</v>
      </c>
      <c r="AG281" s="148"/>
      <c r="AH281" s="148"/>
      <c r="AI281" s="148" t="s">
        <v>614</v>
      </c>
      <c r="AJ281" s="148" t="s">
        <v>614</v>
      </c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</row>
    <row r="282" ht="14.25" customHeight="1">
      <c r="A282" s="134"/>
      <c r="B282" s="135"/>
      <c r="C282" s="58"/>
      <c r="D282" s="166"/>
      <c r="E282" s="136"/>
      <c r="F282" s="60"/>
      <c r="G282" s="90"/>
      <c r="H282" s="154"/>
      <c r="I282" s="138"/>
      <c r="J282" s="63"/>
      <c r="K282" s="65"/>
      <c r="L282" s="66"/>
      <c r="M282" s="81"/>
      <c r="N282" s="167"/>
      <c r="O282" s="87"/>
      <c r="P282" s="142"/>
      <c r="Q282" s="143"/>
      <c r="R282" s="74"/>
      <c r="S282" s="158"/>
      <c r="T282" s="146">
        <f t="shared" si="10"/>
        <v>0</v>
      </c>
      <c r="U282" s="146">
        <f>round((O282*69)+(550*N282),-1)</f>
        <v>0</v>
      </c>
      <c r="V282" s="147"/>
      <c r="W282" s="74" t="b">
        <v>0</v>
      </c>
      <c r="X282" s="74" t="b">
        <v>0</v>
      </c>
      <c r="Y282" s="74" t="b">
        <v>0</v>
      </c>
      <c r="Z282" s="148" t="str">
        <f>IFERROR(__xludf.DUMMYFUNCTION("""COMPUTED_VALUE"""),"")</f>
        <v/>
      </c>
      <c r="AA282" s="148" t="str">
        <f>IFERROR(__xludf.DUMMYFUNCTION("""COMPUTED_VALUE"""),"")</f>
        <v/>
      </c>
      <c r="AB282" s="148" t="str">
        <f>IFERROR(__xludf.DUMMYFUNCTION("""COMPUTED_VALUE"""),"")</f>
        <v/>
      </c>
      <c r="AC282" s="149"/>
      <c r="AD282" s="148"/>
      <c r="AE282" s="148"/>
      <c r="AF282" s="148" t="s">
        <v>613</v>
      </c>
      <c r="AG282" s="148"/>
      <c r="AH282" s="148"/>
      <c r="AI282" s="148" t="s">
        <v>614</v>
      </c>
      <c r="AJ282" s="148" t="s">
        <v>614</v>
      </c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</row>
    <row r="283" ht="14.25" customHeight="1">
      <c r="A283" s="134"/>
      <c r="B283" s="135"/>
      <c r="C283" s="58"/>
      <c r="D283" s="166"/>
      <c r="E283" s="136"/>
      <c r="F283" s="60"/>
      <c r="G283" s="90"/>
      <c r="H283" s="154"/>
      <c r="I283" s="138"/>
      <c r="J283" s="63"/>
      <c r="K283" s="65"/>
      <c r="L283" s="66"/>
      <c r="M283" s="81"/>
      <c r="N283" s="167"/>
      <c r="O283" s="87"/>
      <c r="P283" s="142"/>
      <c r="Q283" s="143"/>
      <c r="R283" s="74"/>
      <c r="S283" s="158"/>
      <c r="T283" s="146">
        <f t="shared" si="10"/>
        <v>0</v>
      </c>
      <c r="U283" s="146">
        <f>round((O283*119)+(550*N283),-1)</f>
        <v>0</v>
      </c>
      <c r="V283" s="147"/>
      <c r="W283" s="74" t="b">
        <v>0</v>
      </c>
      <c r="X283" s="74" t="b">
        <v>0</v>
      </c>
      <c r="Y283" s="74" t="b">
        <v>0</v>
      </c>
      <c r="Z283" s="148" t="str">
        <f>IFERROR(__xludf.DUMMYFUNCTION("""COMPUTED_VALUE"""),"")</f>
        <v/>
      </c>
      <c r="AA283" s="148" t="str">
        <f>IFERROR(__xludf.DUMMYFUNCTION("""COMPUTED_VALUE"""),"")</f>
        <v/>
      </c>
      <c r="AB283" s="148" t="str">
        <f>IFERROR(__xludf.DUMMYFUNCTION("""COMPUTED_VALUE"""),"")</f>
        <v/>
      </c>
      <c r="AC283" s="149"/>
      <c r="AD283" s="148"/>
      <c r="AE283" s="148"/>
      <c r="AF283" s="148" t="s">
        <v>613</v>
      </c>
      <c r="AG283" s="148"/>
      <c r="AH283" s="148"/>
      <c r="AI283" s="148" t="s">
        <v>614</v>
      </c>
      <c r="AJ283" s="148" t="s">
        <v>614</v>
      </c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</row>
    <row r="284" ht="14.25" customHeight="1">
      <c r="A284" s="134"/>
      <c r="B284" s="135"/>
      <c r="C284" s="77"/>
      <c r="D284" s="161"/>
      <c r="E284" s="136"/>
      <c r="F284" s="60"/>
      <c r="G284" s="62"/>
      <c r="H284" s="63"/>
      <c r="I284" s="155"/>
      <c r="J284" s="85"/>
      <c r="K284" s="80"/>
      <c r="L284" s="66"/>
      <c r="M284" s="156"/>
      <c r="N284" s="157"/>
      <c r="O284" s="87"/>
      <c r="P284" s="151"/>
      <c r="Q284" s="143"/>
      <c r="R284" s="74"/>
      <c r="S284" s="158"/>
      <c r="T284" s="146">
        <f t="shared" si="10"/>
        <v>0</v>
      </c>
      <c r="U284" s="146">
        <f t="shared" ref="U284:U288" si="31">round((O284*89)+(550*N284),-1)</f>
        <v>0</v>
      </c>
      <c r="V284" s="147"/>
      <c r="W284" s="74" t="b">
        <v>0</v>
      </c>
      <c r="X284" s="74" t="b">
        <v>0</v>
      </c>
      <c r="Y284" s="74" t="b">
        <v>0</v>
      </c>
      <c r="Z284" s="148" t="str">
        <f>IFERROR(__xludf.DUMMYFUNCTION("""COMPUTED_VALUE"""),"")</f>
        <v/>
      </c>
      <c r="AA284" s="148" t="str">
        <f>IFERROR(__xludf.DUMMYFUNCTION("""COMPUTED_VALUE"""),"")</f>
        <v/>
      </c>
      <c r="AB284" s="148" t="str">
        <f>IFERROR(__xludf.DUMMYFUNCTION("""COMPUTED_VALUE"""),"")</f>
        <v/>
      </c>
      <c r="AC284" s="153"/>
      <c r="AD284" s="148"/>
      <c r="AE284" s="47"/>
      <c r="AF284" s="148" t="s">
        <v>613</v>
      </c>
      <c r="AG284" s="148"/>
      <c r="AH284" s="148"/>
      <c r="AI284" s="148" t="s">
        <v>614</v>
      </c>
      <c r="AJ284" s="148" t="s">
        <v>614</v>
      </c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</row>
    <row r="285" ht="14.25" customHeight="1">
      <c r="A285" s="134"/>
      <c r="B285" s="135"/>
      <c r="C285" s="77"/>
      <c r="D285" s="161"/>
      <c r="E285" s="136"/>
      <c r="F285" s="60"/>
      <c r="G285" s="62"/>
      <c r="H285" s="63"/>
      <c r="I285" s="155"/>
      <c r="J285" s="85"/>
      <c r="K285" s="80"/>
      <c r="L285" s="66"/>
      <c r="M285" s="156"/>
      <c r="N285" s="157"/>
      <c r="O285" s="87"/>
      <c r="P285" s="151"/>
      <c r="Q285" s="143"/>
      <c r="R285" s="74"/>
      <c r="S285" s="158"/>
      <c r="T285" s="146">
        <f t="shared" si="10"/>
        <v>0</v>
      </c>
      <c r="U285" s="146">
        <f t="shared" si="31"/>
        <v>0</v>
      </c>
      <c r="V285" s="147"/>
      <c r="W285" s="74" t="b">
        <v>0</v>
      </c>
      <c r="X285" s="74" t="b">
        <v>0</v>
      </c>
      <c r="Y285" s="74" t="b">
        <v>0</v>
      </c>
      <c r="Z285" s="148" t="str">
        <f>IFERROR(__xludf.DUMMYFUNCTION("""COMPUTED_VALUE"""),"")</f>
        <v/>
      </c>
      <c r="AA285" s="148" t="str">
        <f>IFERROR(__xludf.DUMMYFUNCTION("""COMPUTED_VALUE"""),"")</f>
        <v/>
      </c>
      <c r="AB285" s="148" t="str">
        <f>IFERROR(__xludf.DUMMYFUNCTION("""COMPUTED_VALUE"""),"")</f>
        <v/>
      </c>
      <c r="AC285" s="153"/>
      <c r="AD285" s="148"/>
      <c r="AE285" s="47"/>
      <c r="AF285" s="148" t="s">
        <v>613</v>
      </c>
      <c r="AG285" s="148"/>
      <c r="AH285" s="148"/>
      <c r="AI285" s="148" t="s">
        <v>614</v>
      </c>
      <c r="AJ285" s="148" t="s">
        <v>614</v>
      </c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</row>
    <row r="286" ht="14.25" customHeight="1">
      <c r="A286" s="134"/>
      <c r="B286" s="135"/>
      <c r="C286" s="77"/>
      <c r="D286" s="161"/>
      <c r="E286" s="136"/>
      <c r="F286" s="60"/>
      <c r="G286" s="62"/>
      <c r="H286" s="63"/>
      <c r="I286" s="155"/>
      <c r="J286" s="85"/>
      <c r="K286" s="80"/>
      <c r="L286" s="66"/>
      <c r="M286" s="156"/>
      <c r="N286" s="157"/>
      <c r="O286" s="87"/>
      <c r="P286" s="151"/>
      <c r="Q286" s="143"/>
      <c r="R286" s="74"/>
      <c r="S286" s="158"/>
      <c r="T286" s="146">
        <f t="shared" si="10"/>
        <v>0</v>
      </c>
      <c r="U286" s="146">
        <f t="shared" si="31"/>
        <v>0</v>
      </c>
      <c r="V286" s="147"/>
      <c r="W286" s="74" t="b">
        <v>0</v>
      </c>
      <c r="X286" s="74" t="b">
        <v>0</v>
      </c>
      <c r="Y286" s="74" t="b">
        <v>0</v>
      </c>
      <c r="Z286" s="148" t="str">
        <f>IFERROR(__xludf.DUMMYFUNCTION("""COMPUTED_VALUE"""),"")</f>
        <v/>
      </c>
      <c r="AA286" s="148" t="str">
        <f>IFERROR(__xludf.DUMMYFUNCTION("""COMPUTED_VALUE"""),"")</f>
        <v/>
      </c>
      <c r="AB286" s="148" t="str">
        <f>IFERROR(__xludf.DUMMYFUNCTION("""COMPUTED_VALUE"""),"")</f>
        <v/>
      </c>
      <c r="AC286" s="153"/>
      <c r="AD286" s="148"/>
      <c r="AE286" s="47"/>
      <c r="AF286" s="148" t="s">
        <v>613</v>
      </c>
      <c r="AG286" s="148"/>
      <c r="AH286" s="148"/>
      <c r="AI286" s="148" t="s">
        <v>614</v>
      </c>
      <c r="AJ286" s="148" t="s">
        <v>614</v>
      </c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</row>
    <row r="287" ht="14.25" customHeight="1">
      <c r="A287" s="134"/>
      <c r="B287" s="135"/>
      <c r="C287" s="77"/>
      <c r="D287" s="161"/>
      <c r="E287" s="136"/>
      <c r="F287" s="60"/>
      <c r="G287" s="62"/>
      <c r="H287" s="63"/>
      <c r="I287" s="155"/>
      <c r="J287" s="85"/>
      <c r="K287" s="80"/>
      <c r="L287" s="66"/>
      <c r="M287" s="156"/>
      <c r="N287" s="157"/>
      <c r="O287" s="87"/>
      <c r="P287" s="151"/>
      <c r="Q287" s="143"/>
      <c r="R287" s="74"/>
      <c r="S287" s="158"/>
      <c r="T287" s="146">
        <f t="shared" si="10"/>
        <v>0</v>
      </c>
      <c r="U287" s="146">
        <f t="shared" si="31"/>
        <v>0</v>
      </c>
      <c r="V287" s="147"/>
      <c r="W287" s="74" t="b">
        <v>0</v>
      </c>
      <c r="X287" s="74" t="b">
        <v>0</v>
      </c>
      <c r="Y287" s="74" t="b">
        <v>0</v>
      </c>
      <c r="Z287" s="148" t="str">
        <f>IFERROR(__xludf.DUMMYFUNCTION("""COMPUTED_VALUE"""),"")</f>
        <v/>
      </c>
      <c r="AA287" s="148" t="str">
        <f>IFERROR(__xludf.DUMMYFUNCTION("""COMPUTED_VALUE"""),"")</f>
        <v/>
      </c>
      <c r="AB287" s="148" t="str">
        <f>IFERROR(__xludf.DUMMYFUNCTION("""COMPUTED_VALUE"""),"")</f>
        <v/>
      </c>
      <c r="AC287" s="153"/>
      <c r="AD287" s="148"/>
      <c r="AE287" s="47"/>
      <c r="AF287" s="148" t="s">
        <v>613</v>
      </c>
      <c r="AG287" s="148"/>
      <c r="AH287" s="148"/>
      <c r="AI287" s="148" t="s">
        <v>614</v>
      </c>
      <c r="AJ287" s="148" t="s">
        <v>614</v>
      </c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</row>
    <row r="288" ht="14.25" customHeight="1">
      <c r="A288" s="134"/>
      <c r="B288" s="135"/>
      <c r="C288" s="171"/>
      <c r="D288" s="166"/>
      <c r="E288" s="136"/>
      <c r="F288" s="60"/>
      <c r="G288" s="62"/>
      <c r="H288" s="63"/>
      <c r="I288" s="138"/>
      <c r="J288" s="63"/>
      <c r="K288" s="65"/>
      <c r="L288" s="66"/>
      <c r="M288" s="81"/>
      <c r="N288" s="167"/>
      <c r="O288" s="87"/>
      <c r="P288" s="142"/>
      <c r="Q288" s="143"/>
      <c r="R288" s="74"/>
      <c r="S288" s="158"/>
      <c r="T288" s="146">
        <f t="shared" si="10"/>
        <v>0</v>
      </c>
      <c r="U288" s="146">
        <f t="shared" si="31"/>
        <v>0</v>
      </c>
      <c r="V288" s="147"/>
      <c r="W288" s="74" t="b">
        <v>0</v>
      </c>
      <c r="X288" s="74" t="b">
        <v>0</v>
      </c>
      <c r="Y288" s="74" t="b">
        <v>0</v>
      </c>
      <c r="Z288" s="148" t="str">
        <f>IFERROR(__xludf.DUMMYFUNCTION("""COMPUTED_VALUE"""),"")</f>
        <v/>
      </c>
      <c r="AA288" s="148" t="str">
        <f>IFERROR(__xludf.DUMMYFUNCTION("""COMPUTED_VALUE"""),"")</f>
        <v/>
      </c>
      <c r="AB288" s="148" t="str">
        <f>IFERROR(__xludf.DUMMYFUNCTION("""COMPUTED_VALUE"""),"")</f>
        <v/>
      </c>
      <c r="AC288" s="149"/>
      <c r="AD288" s="148"/>
      <c r="AE288" s="148"/>
      <c r="AF288" s="148" t="s">
        <v>613</v>
      </c>
      <c r="AG288" s="148"/>
      <c r="AH288" s="148"/>
      <c r="AI288" s="148" t="s">
        <v>614</v>
      </c>
      <c r="AJ288" s="148" t="s">
        <v>614</v>
      </c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</row>
    <row r="289" ht="14.25" customHeight="1">
      <c r="A289" s="134"/>
      <c r="B289" s="135"/>
      <c r="C289" s="77"/>
      <c r="D289" s="161"/>
      <c r="E289" s="136"/>
      <c r="F289" s="60"/>
      <c r="G289" s="62"/>
      <c r="H289" s="154"/>
      <c r="I289" s="155"/>
      <c r="J289" s="85"/>
      <c r="K289" s="80"/>
      <c r="L289" s="66"/>
      <c r="M289" s="156"/>
      <c r="N289" s="157"/>
      <c r="O289" s="87"/>
      <c r="P289" s="142"/>
      <c r="Q289" s="143"/>
      <c r="R289" s="74"/>
      <c r="S289" s="158"/>
      <c r="T289" s="146">
        <f t="shared" si="10"/>
        <v>0</v>
      </c>
      <c r="U289" s="146">
        <f t="shared" ref="U289:U290" si="32">round((O289*69)+(10*N289),-1)</f>
        <v>0</v>
      </c>
      <c r="V289" s="147"/>
      <c r="W289" s="74" t="b">
        <v>0</v>
      </c>
      <c r="X289" s="74" t="b">
        <v>0</v>
      </c>
      <c r="Y289" s="74" t="b">
        <v>0</v>
      </c>
      <c r="Z289" s="148" t="str">
        <f>IFERROR(__xludf.DUMMYFUNCTION("""COMPUTED_VALUE"""),"")</f>
        <v/>
      </c>
      <c r="AA289" s="148" t="str">
        <f>IFERROR(__xludf.DUMMYFUNCTION("""COMPUTED_VALUE"""),"")</f>
        <v/>
      </c>
      <c r="AB289" s="148" t="str">
        <f>IFERROR(__xludf.DUMMYFUNCTION("""COMPUTED_VALUE"""),"")</f>
        <v/>
      </c>
      <c r="AC289" s="153"/>
      <c r="AD289" s="148"/>
      <c r="AE289" s="47"/>
      <c r="AF289" s="148" t="s">
        <v>613</v>
      </c>
      <c r="AG289" s="148"/>
      <c r="AH289" s="148"/>
      <c r="AI289" s="148" t="s">
        <v>614</v>
      </c>
      <c r="AJ289" s="148" t="s">
        <v>614</v>
      </c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</row>
    <row r="290" ht="14.25" customHeight="1">
      <c r="A290" s="134"/>
      <c r="B290" s="135"/>
      <c r="C290" s="77"/>
      <c r="D290" s="161"/>
      <c r="E290" s="136"/>
      <c r="F290" s="60"/>
      <c r="G290" s="62"/>
      <c r="H290" s="154"/>
      <c r="I290" s="155"/>
      <c r="J290" s="85"/>
      <c r="K290" s="80"/>
      <c r="L290" s="66"/>
      <c r="M290" s="156"/>
      <c r="N290" s="157"/>
      <c r="O290" s="87"/>
      <c r="P290" s="142"/>
      <c r="Q290" s="143"/>
      <c r="R290" s="74"/>
      <c r="S290" s="158"/>
      <c r="T290" s="146">
        <f t="shared" si="10"/>
        <v>0</v>
      </c>
      <c r="U290" s="146">
        <f t="shared" si="32"/>
        <v>0</v>
      </c>
      <c r="V290" s="147"/>
      <c r="W290" s="74" t="b">
        <v>0</v>
      </c>
      <c r="X290" s="74" t="b">
        <v>0</v>
      </c>
      <c r="Y290" s="74" t="b">
        <v>0</v>
      </c>
      <c r="Z290" s="148" t="str">
        <f>IFERROR(__xludf.DUMMYFUNCTION("""COMPUTED_VALUE"""),"")</f>
        <v/>
      </c>
      <c r="AA290" s="148" t="str">
        <f>IFERROR(__xludf.DUMMYFUNCTION("""COMPUTED_VALUE"""),"")</f>
        <v/>
      </c>
      <c r="AB290" s="148" t="str">
        <f>IFERROR(__xludf.DUMMYFUNCTION("""COMPUTED_VALUE"""),"")</f>
        <v/>
      </c>
      <c r="AC290" s="153"/>
      <c r="AD290" s="148"/>
      <c r="AE290" s="47"/>
      <c r="AF290" s="148" t="s">
        <v>613</v>
      </c>
      <c r="AG290" s="148"/>
      <c r="AH290" s="148"/>
      <c r="AI290" s="148" t="s">
        <v>614</v>
      </c>
      <c r="AJ290" s="148" t="s">
        <v>614</v>
      </c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</row>
    <row r="291" ht="14.25" customHeight="1">
      <c r="A291" s="134"/>
      <c r="B291" s="172"/>
      <c r="C291" s="173"/>
      <c r="D291" s="161"/>
      <c r="E291" s="136"/>
      <c r="F291" s="60"/>
      <c r="G291" s="174"/>
      <c r="H291" s="63"/>
      <c r="I291" s="155"/>
      <c r="J291" s="175"/>
      <c r="K291" s="80"/>
      <c r="L291" s="66"/>
      <c r="M291" s="156"/>
      <c r="N291" s="157"/>
      <c r="O291" s="69"/>
      <c r="P291" s="142"/>
      <c r="Q291" s="143"/>
      <c r="R291" s="74"/>
      <c r="S291" s="74"/>
      <c r="T291" s="146">
        <f t="shared" si="10"/>
        <v>0</v>
      </c>
      <c r="U291" s="146">
        <f t="shared" ref="U291:U297" si="33">round((O291*89)+(550*N291),-1)</f>
        <v>0</v>
      </c>
      <c r="V291" s="147"/>
      <c r="W291" s="74" t="b">
        <v>0</v>
      </c>
      <c r="X291" s="74" t="b">
        <v>0</v>
      </c>
      <c r="Y291" s="74" t="b">
        <v>0</v>
      </c>
      <c r="Z291" s="148" t="str">
        <f>IFERROR(__xludf.DUMMYFUNCTION("""COMPUTED_VALUE"""),"")</f>
        <v/>
      </c>
      <c r="AA291" s="148" t="str">
        <f>IFERROR(__xludf.DUMMYFUNCTION("""COMPUTED_VALUE"""),"")</f>
        <v/>
      </c>
      <c r="AB291" s="148" t="str">
        <f>IFERROR(__xludf.DUMMYFUNCTION("""COMPUTED_VALUE"""),"")</f>
        <v/>
      </c>
      <c r="AC291" s="153"/>
      <c r="AD291" s="148"/>
      <c r="AE291" s="47"/>
      <c r="AF291" s="148" t="s">
        <v>613</v>
      </c>
      <c r="AG291" s="148"/>
      <c r="AH291" s="148"/>
      <c r="AI291" s="148" t="s">
        <v>614</v>
      </c>
      <c r="AJ291" s="148" t="s">
        <v>614</v>
      </c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</row>
    <row r="292" ht="14.25" customHeight="1">
      <c r="A292" s="152"/>
      <c r="B292" s="135"/>
      <c r="C292" s="77"/>
      <c r="D292" s="161"/>
      <c r="E292" s="166"/>
      <c r="F292" s="168"/>
      <c r="G292" s="62"/>
      <c r="H292" s="63"/>
      <c r="I292" s="155"/>
      <c r="J292" s="85"/>
      <c r="K292" s="80"/>
      <c r="L292" s="66"/>
      <c r="M292" s="156"/>
      <c r="N292" s="157"/>
      <c r="O292" s="87"/>
      <c r="P292" s="151"/>
      <c r="Q292" s="143"/>
      <c r="R292" s="74"/>
      <c r="S292" s="158"/>
      <c r="T292" s="146">
        <f t="shared" si="10"/>
        <v>0</v>
      </c>
      <c r="U292" s="146">
        <f t="shared" si="33"/>
        <v>0</v>
      </c>
      <c r="V292" s="147"/>
      <c r="W292" s="74" t="b">
        <v>0</v>
      </c>
      <c r="X292" s="74" t="b">
        <v>0</v>
      </c>
      <c r="Y292" s="74" t="b">
        <v>0</v>
      </c>
      <c r="Z292" s="148" t="str">
        <f>IFERROR(__xludf.DUMMYFUNCTION("""COMPUTED_VALUE"""),"")</f>
        <v/>
      </c>
      <c r="AA292" s="148" t="str">
        <f>IFERROR(__xludf.DUMMYFUNCTION("""COMPUTED_VALUE"""),"")</f>
        <v/>
      </c>
      <c r="AB292" s="148" t="str">
        <f>IFERROR(__xludf.DUMMYFUNCTION("""COMPUTED_VALUE"""),"")</f>
        <v/>
      </c>
      <c r="AC292" s="153"/>
      <c r="AD292" s="148"/>
      <c r="AE292" s="47"/>
      <c r="AF292" s="148" t="s">
        <v>613</v>
      </c>
      <c r="AG292" s="148"/>
      <c r="AH292" s="148"/>
      <c r="AI292" s="148" t="s">
        <v>614</v>
      </c>
      <c r="AJ292" s="148" t="s">
        <v>614</v>
      </c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</row>
    <row r="293" ht="14.25" customHeight="1">
      <c r="A293" s="152"/>
      <c r="B293" s="135"/>
      <c r="C293" s="77"/>
      <c r="D293" s="161"/>
      <c r="E293" s="166"/>
      <c r="F293" s="168"/>
      <c r="G293" s="62"/>
      <c r="H293" s="63"/>
      <c r="I293" s="155"/>
      <c r="J293" s="85"/>
      <c r="K293" s="80"/>
      <c r="L293" s="66"/>
      <c r="M293" s="156"/>
      <c r="N293" s="157"/>
      <c r="O293" s="87"/>
      <c r="P293" s="151"/>
      <c r="Q293" s="143"/>
      <c r="R293" s="74"/>
      <c r="S293" s="158"/>
      <c r="T293" s="146">
        <f t="shared" si="10"/>
        <v>0</v>
      </c>
      <c r="U293" s="146">
        <f t="shared" si="33"/>
        <v>0</v>
      </c>
      <c r="V293" s="147"/>
      <c r="W293" s="74" t="b">
        <v>0</v>
      </c>
      <c r="X293" s="74" t="b">
        <v>0</v>
      </c>
      <c r="Y293" s="74" t="b">
        <v>0</v>
      </c>
      <c r="Z293" s="148" t="str">
        <f>IFERROR(__xludf.DUMMYFUNCTION("""COMPUTED_VALUE"""),"")</f>
        <v/>
      </c>
      <c r="AA293" s="148" t="str">
        <f>IFERROR(__xludf.DUMMYFUNCTION("""COMPUTED_VALUE"""),"")</f>
        <v/>
      </c>
      <c r="AB293" s="148" t="str">
        <f>IFERROR(__xludf.DUMMYFUNCTION("""COMPUTED_VALUE"""),"")</f>
        <v/>
      </c>
      <c r="AC293" s="153"/>
      <c r="AD293" s="148"/>
      <c r="AE293" s="47"/>
      <c r="AF293" s="148" t="s">
        <v>613</v>
      </c>
      <c r="AG293" s="148"/>
      <c r="AH293" s="148"/>
      <c r="AI293" s="148" t="s">
        <v>614</v>
      </c>
      <c r="AJ293" s="148" t="s">
        <v>614</v>
      </c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</row>
    <row r="294" ht="14.25" customHeight="1">
      <c r="A294" s="152"/>
      <c r="B294" s="135"/>
      <c r="C294" s="77"/>
      <c r="D294" s="161"/>
      <c r="E294" s="166"/>
      <c r="F294" s="168"/>
      <c r="G294" s="62"/>
      <c r="H294" s="63"/>
      <c r="I294" s="155"/>
      <c r="J294" s="85"/>
      <c r="K294" s="80"/>
      <c r="L294" s="66"/>
      <c r="M294" s="156"/>
      <c r="N294" s="157"/>
      <c r="O294" s="87"/>
      <c r="P294" s="151"/>
      <c r="Q294" s="143"/>
      <c r="R294" s="74"/>
      <c r="S294" s="158"/>
      <c r="T294" s="146">
        <f t="shared" si="10"/>
        <v>0</v>
      </c>
      <c r="U294" s="146">
        <f t="shared" si="33"/>
        <v>0</v>
      </c>
      <c r="V294" s="147"/>
      <c r="W294" s="74" t="b">
        <v>0</v>
      </c>
      <c r="X294" s="74" t="b">
        <v>0</v>
      </c>
      <c r="Y294" s="74" t="b">
        <v>0</v>
      </c>
      <c r="Z294" s="148" t="str">
        <f>IFERROR(__xludf.DUMMYFUNCTION("""COMPUTED_VALUE"""),"")</f>
        <v/>
      </c>
      <c r="AA294" s="148" t="str">
        <f>IFERROR(__xludf.DUMMYFUNCTION("""COMPUTED_VALUE"""),"")</f>
        <v/>
      </c>
      <c r="AB294" s="148" t="str">
        <f>IFERROR(__xludf.DUMMYFUNCTION("""COMPUTED_VALUE"""),"")</f>
        <v/>
      </c>
      <c r="AC294" s="153"/>
      <c r="AD294" s="148"/>
      <c r="AE294" s="47"/>
      <c r="AF294" s="148" t="s">
        <v>613</v>
      </c>
      <c r="AG294" s="148"/>
      <c r="AH294" s="148"/>
      <c r="AI294" s="148" t="s">
        <v>614</v>
      </c>
      <c r="AJ294" s="148" t="s">
        <v>614</v>
      </c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</row>
    <row r="295" ht="14.25" customHeight="1">
      <c r="A295" s="152"/>
      <c r="B295" s="135"/>
      <c r="C295" s="77"/>
      <c r="D295" s="161"/>
      <c r="E295" s="166"/>
      <c r="F295" s="168"/>
      <c r="G295" s="62"/>
      <c r="H295" s="63"/>
      <c r="I295" s="155"/>
      <c r="J295" s="85"/>
      <c r="K295" s="80"/>
      <c r="L295" s="66"/>
      <c r="M295" s="156"/>
      <c r="N295" s="157"/>
      <c r="O295" s="87"/>
      <c r="P295" s="151"/>
      <c r="Q295" s="143"/>
      <c r="R295" s="74"/>
      <c r="S295" s="158"/>
      <c r="T295" s="146">
        <f t="shared" si="10"/>
        <v>0</v>
      </c>
      <c r="U295" s="146">
        <f t="shared" si="33"/>
        <v>0</v>
      </c>
      <c r="V295" s="147"/>
      <c r="W295" s="74" t="b">
        <v>0</v>
      </c>
      <c r="X295" s="74" t="b">
        <v>0</v>
      </c>
      <c r="Y295" s="74" t="b">
        <v>0</v>
      </c>
      <c r="Z295" s="148" t="str">
        <f>IFERROR(__xludf.DUMMYFUNCTION("""COMPUTED_VALUE"""),"")</f>
        <v/>
      </c>
      <c r="AA295" s="148" t="str">
        <f>IFERROR(__xludf.DUMMYFUNCTION("""COMPUTED_VALUE"""),"")</f>
        <v/>
      </c>
      <c r="AB295" s="148" t="str">
        <f>IFERROR(__xludf.DUMMYFUNCTION("""COMPUTED_VALUE"""),"")</f>
        <v/>
      </c>
      <c r="AC295" s="153"/>
      <c r="AD295" s="148"/>
      <c r="AE295" s="47"/>
      <c r="AF295" s="148" t="s">
        <v>613</v>
      </c>
      <c r="AG295" s="148"/>
      <c r="AH295" s="148"/>
      <c r="AI295" s="148" t="s">
        <v>614</v>
      </c>
      <c r="AJ295" s="148" t="s">
        <v>614</v>
      </c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</row>
    <row r="296" ht="14.25" customHeight="1">
      <c r="A296" s="152"/>
      <c r="B296" s="135"/>
      <c r="C296" s="77"/>
      <c r="D296" s="161"/>
      <c r="E296" s="166"/>
      <c r="F296" s="168"/>
      <c r="G296" s="62"/>
      <c r="H296" s="63"/>
      <c r="I296" s="155"/>
      <c r="J296" s="85"/>
      <c r="K296" s="80"/>
      <c r="L296" s="66"/>
      <c r="M296" s="156"/>
      <c r="N296" s="157"/>
      <c r="O296" s="87"/>
      <c r="P296" s="151"/>
      <c r="Q296" s="143"/>
      <c r="R296" s="74"/>
      <c r="S296" s="158"/>
      <c r="T296" s="146">
        <f t="shared" si="10"/>
        <v>0</v>
      </c>
      <c r="U296" s="146">
        <f t="shared" si="33"/>
        <v>0</v>
      </c>
      <c r="V296" s="147"/>
      <c r="W296" s="74" t="b">
        <v>0</v>
      </c>
      <c r="X296" s="74" t="b">
        <v>0</v>
      </c>
      <c r="Y296" s="74" t="b">
        <v>0</v>
      </c>
      <c r="Z296" s="148" t="str">
        <f>IFERROR(__xludf.DUMMYFUNCTION("""COMPUTED_VALUE"""),"")</f>
        <v/>
      </c>
      <c r="AA296" s="148" t="str">
        <f>IFERROR(__xludf.DUMMYFUNCTION("""COMPUTED_VALUE"""),"")</f>
        <v/>
      </c>
      <c r="AB296" s="148" t="str">
        <f>IFERROR(__xludf.DUMMYFUNCTION("""COMPUTED_VALUE"""),"")</f>
        <v/>
      </c>
      <c r="AC296" s="153"/>
      <c r="AD296" s="148"/>
      <c r="AE296" s="47"/>
      <c r="AF296" s="148" t="s">
        <v>613</v>
      </c>
      <c r="AG296" s="148"/>
      <c r="AH296" s="148"/>
      <c r="AI296" s="148" t="s">
        <v>614</v>
      </c>
      <c r="AJ296" s="148" t="s">
        <v>614</v>
      </c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</row>
    <row r="297" ht="14.25" customHeight="1">
      <c r="A297" s="134"/>
      <c r="B297" s="135"/>
      <c r="C297" s="58"/>
      <c r="D297" s="204"/>
      <c r="E297" s="136"/>
      <c r="F297" s="60"/>
      <c r="G297" s="177"/>
      <c r="H297" s="63"/>
      <c r="I297" s="178"/>
      <c r="J297" s="91"/>
      <c r="K297" s="65"/>
      <c r="L297" s="66"/>
      <c r="M297" s="81"/>
      <c r="N297" s="167"/>
      <c r="O297" s="87"/>
      <c r="P297" s="142"/>
      <c r="Q297" s="143"/>
      <c r="R297" s="74"/>
      <c r="S297" s="158"/>
      <c r="T297" s="146">
        <f t="shared" si="10"/>
        <v>0</v>
      </c>
      <c r="U297" s="146">
        <f t="shared" si="33"/>
        <v>0</v>
      </c>
      <c r="V297" s="147"/>
      <c r="W297" s="74" t="b">
        <v>0</v>
      </c>
      <c r="X297" s="74" t="b">
        <v>0</v>
      </c>
      <c r="Y297" s="74" t="b">
        <v>0</v>
      </c>
      <c r="Z297" s="148" t="str">
        <f>IFERROR(__xludf.DUMMYFUNCTION("""COMPUTED_VALUE"""),"")</f>
        <v/>
      </c>
      <c r="AA297" s="148" t="str">
        <f>IFERROR(__xludf.DUMMYFUNCTION("""COMPUTED_VALUE"""),"")</f>
        <v/>
      </c>
      <c r="AB297" s="148" t="str">
        <f>IFERROR(__xludf.DUMMYFUNCTION("""COMPUTED_VALUE"""),"")</f>
        <v/>
      </c>
      <c r="AC297" s="149"/>
      <c r="AD297" s="148"/>
      <c r="AE297" s="47"/>
      <c r="AF297" s="148" t="s">
        <v>613</v>
      </c>
      <c r="AG297" s="148"/>
      <c r="AH297" s="148"/>
      <c r="AI297" s="148" t="s">
        <v>614</v>
      </c>
      <c r="AJ297" s="148" t="s">
        <v>614</v>
      </c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</row>
    <row r="298" ht="14.25" customHeight="1">
      <c r="A298" s="134"/>
      <c r="B298" s="135"/>
      <c r="C298" s="58"/>
      <c r="D298" s="166"/>
      <c r="E298" s="136"/>
      <c r="F298" s="60"/>
      <c r="G298" s="90"/>
      <c r="H298" s="154"/>
      <c r="I298" s="138"/>
      <c r="J298" s="63"/>
      <c r="K298" s="65"/>
      <c r="L298" s="66"/>
      <c r="M298" s="81"/>
      <c r="N298" s="167"/>
      <c r="O298" s="87"/>
      <c r="P298" s="142"/>
      <c r="Q298" s="143"/>
      <c r="R298" s="74"/>
      <c r="S298" s="158"/>
      <c r="T298" s="146">
        <f t="shared" si="10"/>
        <v>0</v>
      </c>
      <c r="U298" s="146"/>
      <c r="V298" s="147"/>
      <c r="W298" s="74" t="b">
        <v>0</v>
      </c>
      <c r="X298" s="74" t="b">
        <v>0</v>
      </c>
      <c r="Y298" s="74" t="b">
        <v>0</v>
      </c>
      <c r="Z298" s="148" t="str">
        <f>IFERROR(__xludf.DUMMYFUNCTION("""COMPUTED_VALUE"""),"")</f>
        <v/>
      </c>
      <c r="AA298" s="148" t="str">
        <f>IFERROR(__xludf.DUMMYFUNCTION("""COMPUTED_VALUE"""),"")</f>
        <v/>
      </c>
      <c r="AB298" s="148" t="str">
        <f>IFERROR(__xludf.DUMMYFUNCTION("""COMPUTED_VALUE"""),"")</f>
        <v/>
      </c>
      <c r="AC298" s="149"/>
      <c r="AD298" s="148"/>
      <c r="AE298" s="148"/>
      <c r="AF298" s="148" t="s">
        <v>613</v>
      </c>
      <c r="AG298" s="148"/>
      <c r="AH298" s="148"/>
      <c r="AI298" s="148" t="s">
        <v>614</v>
      </c>
      <c r="AJ298" s="148" t="s">
        <v>614</v>
      </c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</row>
    <row r="299" ht="14.25" customHeight="1">
      <c r="A299" s="134"/>
      <c r="B299" s="135"/>
      <c r="C299" s="58"/>
      <c r="D299" s="166"/>
      <c r="E299" s="136"/>
      <c r="F299" s="60"/>
      <c r="G299" s="90"/>
      <c r="H299" s="154"/>
      <c r="I299" s="138"/>
      <c r="J299" s="63"/>
      <c r="K299" s="65"/>
      <c r="L299" s="66"/>
      <c r="M299" s="81"/>
      <c r="N299" s="167"/>
      <c r="O299" s="87"/>
      <c r="P299" s="142"/>
      <c r="Q299" s="143"/>
      <c r="R299" s="74"/>
      <c r="S299" s="158"/>
      <c r="T299" s="146">
        <f t="shared" si="10"/>
        <v>0</v>
      </c>
      <c r="U299" s="146"/>
      <c r="V299" s="147"/>
      <c r="W299" s="74" t="b">
        <v>0</v>
      </c>
      <c r="X299" s="74" t="b">
        <v>0</v>
      </c>
      <c r="Y299" s="74" t="b">
        <v>0</v>
      </c>
      <c r="Z299" s="148" t="str">
        <f>IFERROR(__xludf.DUMMYFUNCTION("""COMPUTED_VALUE"""),"")</f>
        <v/>
      </c>
      <c r="AA299" s="148" t="str">
        <f>IFERROR(__xludf.DUMMYFUNCTION("""COMPUTED_VALUE"""),"")</f>
        <v/>
      </c>
      <c r="AB299" s="148" t="str">
        <f>IFERROR(__xludf.DUMMYFUNCTION("""COMPUTED_VALUE"""),"")</f>
        <v/>
      </c>
      <c r="AC299" s="149"/>
      <c r="AD299" s="148"/>
      <c r="AE299" s="148"/>
      <c r="AF299" s="148" t="s">
        <v>613</v>
      </c>
      <c r="AG299" s="148"/>
      <c r="AH299" s="148"/>
      <c r="AI299" s="148" t="s">
        <v>614</v>
      </c>
      <c r="AJ299" s="148" t="s">
        <v>614</v>
      </c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</row>
    <row r="300" ht="14.25" customHeight="1">
      <c r="A300" s="134"/>
      <c r="B300" s="135"/>
      <c r="C300" s="58"/>
      <c r="D300" s="166"/>
      <c r="E300" s="136"/>
      <c r="F300" s="60"/>
      <c r="G300" s="90"/>
      <c r="H300" s="154"/>
      <c r="I300" s="138"/>
      <c r="J300" s="63"/>
      <c r="K300" s="65"/>
      <c r="L300" s="66"/>
      <c r="M300" s="81"/>
      <c r="N300" s="167"/>
      <c r="O300" s="87"/>
      <c r="P300" s="142"/>
      <c r="Q300" s="143"/>
      <c r="R300" s="74"/>
      <c r="S300" s="158"/>
      <c r="T300" s="146">
        <f t="shared" si="10"/>
        <v>0</v>
      </c>
      <c r="U300" s="146"/>
      <c r="V300" s="147"/>
      <c r="W300" s="74" t="b">
        <v>0</v>
      </c>
      <c r="X300" s="74" t="b">
        <v>0</v>
      </c>
      <c r="Y300" s="74" t="b">
        <v>0</v>
      </c>
      <c r="Z300" s="148" t="str">
        <f>IFERROR(__xludf.DUMMYFUNCTION("""COMPUTED_VALUE"""),"")</f>
        <v/>
      </c>
      <c r="AA300" s="148" t="str">
        <f>IFERROR(__xludf.DUMMYFUNCTION("""COMPUTED_VALUE"""),"")</f>
        <v/>
      </c>
      <c r="AB300" s="148" t="str">
        <f>IFERROR(__xludf.DUMMYFUNCTION("""COMPUTED_VALUE"""),"")</f>
        <v/>
      </c>
      <c r="AC300" s="149"/>
      <c r="AD300" s="148"/>
      <c r="AE300" s="148"/>
      <c r="AF300" s="148" t="s">
        <v>613</v>
      </c>
      <c r="AG300" s="148"/>
      <c r="AH300" s="148"/>
      <c r="AI300" s="148" t="s">
        <v>614</v>
      </c>
      <c r="AJ300" s="148" t="s">
        <v>614</v>
      </c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</row>
    <row r="301" ht="14.25" customHeight="1">
      <c r="A301" s="179"/>
      <c r="B301" s="180"/>
      <c r="C301" s="181"/>
      <c r="D301" s="179"/>
      <c r="E301" s="215"/>
      <c r="F301" s="182"/>
      <c r="G301" s="180"/>
      <c r="H301" s="180"/>
      <c r="I301" s="180"/>
      <c r="J301" s="180"/>
      <c r="K301" s="183"/>
      <c r="L301" s="184"/>
      <c r="M301" s="185"/>
      <c r="N301" s="180"/>
      <c r="O301" s="69"/>
      <c r="P301" s="186"/>
      <c r="Q301" s="179"/>
      <c r="R301" s="180"/>
      <c r="S301" s="187"/>
      <c r="T301" s="146">
        <f t="shared" si="10"/>
        <v>0</v>
      </c>
      <c r="U301" s="146"/>
      <c r="V301" s="147"/>
      <c r="W301" s="74" t="b">
        <v>0</v>
      </c>
      <c r="X301" s="74" t="b">
        <v>0</v>
      </c>
      <c r="Y301" s="74" t="b">
        <v>0</v>
      </c>
      <c r="Z301" s="148" t="str">
        <f>IFERROR(__xludf.DUMMYFUNCTION("""COMPUTED_VALUE"""),"")</f>
        <v/>
      </c>
      <c r="AA301" s="148" t="str">
        <f>IFERROR(__xludf.DUMMYFUNCTION("""COMPUTED_VALUE"""),"")</f>
        <v/>
      </c>
      <c r="AB301" s="148" t="str">
        <f>IFERROR(__xludf.DUMMYFUNCTION("""COMPUTED_VALUE"""),"")</f>
        <v/>
      </c>
      <c r="AC301" s="149"/>
      <c r="AD301" s="148"/>
      <c r="AE301" s="148"/>
      <c r="AF301" s="148" t="s">
        <v>613</v>
      </c>
      <c r="AG301" s="148"/>
      <c r="AH301" s="148"/>
      <c r="AI301" s="148" t="s">
        <v>614</v>
      </c>
      <c r="AJ301" s="148" t="s">
        <v>614</v>
      </c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</row>
    <row r="302" ht="14.25" customHeight="1">
      <c r="A302" s="179"/>
      <c r="B302" s="180"/>
      <c r="C302" s="181"/>
      <c r="D302" s="179"/>
      <c r="E302" s="215"/>
      <c r="F302" s="182"/>
      <c r="G302" s="180"/>
      <c r="H302" s="180"/>
      <c r="I302" s="180"/>
      <c r="J302" s="180"/>
      <c r="K302" s="183"/>
      <c r="L302" s="184"/>
      <c r="M302" s="185"/>
      <c r="N302" s="180"/>
      <c r="O302" s="69"/>
      <c r="P302" s="186"/>
      <c r="Q302" s="179"/>
      <c r="R302" s="180"/>
      <c r="S302" s="187"/>
      <c r="T302" s="146">
        <f t="shared" si="10"/>
        <v>0</v>
      </c>
      <c r="U302" s="146"/>
      <c r="V302" s="147"/>
      <c r="W302" s="180"/>
      <c r="X302" s="180"/>
      <c r="Y302" s="180"/>
      <c r="Z302" s="148" t="str">
        <f>IFERROR(__xludf.DUMMYFUNCTION("""COMPUTED_VALUE"""),"")</f>
        <v/>
      </c>
      <c r="AA302" s="148" t="str">
        <f>IFERROR(__xludf.DUMMYFUNCTION("""COMPUTED_VALUE"""),"")</f>
        <v/>
      </c>
      <c r="AB302" s="148" t="str">
        <f>IFERROR(__xludf.DUMMYFUNCTION("""COMPUTED_VALUE"""),"")</f>
        <v/>
      </c>
      <c r="AC302" s="149"/>
      <c r="AD302" s="148"/>
      <c r="AE302" s="148"/>
      <c r="AF302" s="148" t="s">
        <v>613</v>
      </c>
      <c r="AG302" s="148"/>
      <c r="AH302" s="148"/>
      <c r="AI302" s="148" t="s">
        <v>614</v>
      </c>
      <c r="AJ302" s="148" t="s">
        <v>614</v>
      </c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</row>
    <row r="303" ht="14.25" customHeight="1">
      <c r="A303" s="179"/>
      <c r="B303" s="180"/>
      <c r="C303" s="181"/>
      <c r="D303" s="179"/>
      <c r="E303" s="215"/>
      <c r="F303" s="182"/>
      <c r="G303" s="180"/>
      <c r="H303" s="180"/>
      <c r="I303" s="180"/>
      <c r="J303" s="180"/>
      <c r="K303" s="183"/>
      <c r="L303" s="184"/>
      <c r="M303" s="185"/>
      <c r="N303" s="180"/>
      <c r="O303" s="69"/>
      <c r="P303" s="186"/>
      <c r="Q303" s="179"/>
      <c r="R303" s="180"/>
      <c r="S303" s="187"/>
      <c r="T303" s="146">
        <f t="shared" si="10"/>
        <v>0</v>
      </c>
      <c r="U303" s="146"/>
      <c r="V303" s="147"/>
      <c r="W303" s="180"/>
      <c r="X303" s="180"/>
      <c r="Y303" s="180"/>
      <c r="Z303" s="148" t="str">
        <f>IFERROR(__xludf.DUMMYFUNCTION("""COMPUTED_VALUE"""),"")</f>
        <v/>
      </c>
      <c r="AA303" s="148" t="str">
        <f>IFERROR(__xludf.DUMMYFUNCTION("""COMPUTED_VALUE"""),"")</f>
        <v/>
      </c>
      <c r="AB303" s="148" t="str">
        <f>IFERROR(__xludf.DUMMYFUNCTION("""COMPUTED_VALUE"""),"")</f>
        <v/>
      </c>
      <c r="AC303" s="149"/>
      <c r="AD303" s="148"/>
      <c r="AE303" s="148"/>
      <c r="AF303" s="148" t="s">
        <v>613</v>
      </c>
      <c r="AG303" s="148"/>
      <c r="AH303" s="148"/>
      <c r="AI303" s="148" t="s">
        <v>614</v>
      </c>
      <c r="AJ303" s="148" t="s">
        <v>614</v>
      </c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</row>
    <row r="304" ht="14.25" customHeight="1">
      <c r="A304" s="179"/>
      <c r="B304" s="180"/>
      <c r="C304" s="181"/>
      <c r="D304" s="179"/>
      <c r="E304" s="215"/>
      <c r="F304" s="182"/>
      <c r="G304" s="180"/>
      <c r="H304" s="180"/>
      <c r="I304" s="180"/>
      <c r="J304" s="180"/>
      <c r="K304" s="183"/>
      <c r="L304" s="184"/>
      <c r="M304" s="185"/>
      <c r="N304" s="180"/>
      <c r="O304" s="69"/>
      <c r="P304" s="186"/>
      <c r="Q304" s="179"/>
      <c r="R304" s="180"/>
      <c r="S304" s="187"/>
      <c r="T304" s="146">
        <f t="shared" si="10"/>
        <v>0</v>
      </c>
      <c r="U304" s="146"/>
      <c r="V304" s="147"/>
      <c r="W304" s="180"/>
      <c r="X304" s="180"/>
      <c r="Y304" s="180"/>
      <c r="Z304" s="148" t="str">
        <f>IFERROR(__xludf.DUMMYFUNCTION("""COMPUTED_VALUE"""),"")</f>
        <v/>
      </c>
      <c r="AA304" s="148" t="str">
        <f>IFERROR(__xludf.DUMMYFUNCTION("""COMPUTED_VALUE"""),"")</f>
        <v/>
      </c>
      <c r="AB304" s="148" t="str">
        <f>IFERROR(__xludf.DUMMYFUNCTION("""COMPUTED_VALUE"""),"")</f>
        <v/>
      </c>
      <c r="AC304" s="149"/>
      <c r="AD304" s="148"/>
      <c r="AE304" s="148"/>
      <c r="AF304" s="148" t="s">
        <v>613</v>
      </c>
      <c r="AG304" s="148"/>
      <c r="AH304" s="148"/>
      <c r="AI304" s="148" t="s">
        <v>614</v>
      </c>
      <c r="AJ304" s="148" t="s">
        <v>614</v>
      </c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</row>
    <row r="305" ht="14.25" customHeight="1">
      <c r="A305" s="179"/>
      <c r="B305" s="180"/>
      <c r="C305" s="181"/>
      <c r="D305" s="179"/>
      <c r="E305" s="215"/>
      <c r="F305" s="182"/>
      <c r="G305" s="180"/>
      <c r="H305" s="180"/>
      <c r="I305" s="180"/>
      <c r="J305" s="180"/>
      <c r="K305" s="183"/>
      <c r="L305" s="184"/>
      <c r="M305" s="185"/>
      <c r="N305" s="180"/>
      <c r="O305" s="69"/>
      <c r="P305" s="186"/>
      <c r="Q305" s="179"/>
      <c r="R305" s="180"/>
      <c r="S305" s="187"/>
      <c r="T305" s="146">
        <f t="shared" si="10"/>
        <v>0</v>
      </c>
      <c r="U305" s="146"/>
      <c r="V305" s="147"/>
      <c r="W305" s="180"/>
      <c r="X305" s="180"/>
      <c r="Y305" s="180"/>
      <c r="Z305" s="148" t="str">
        <f>IFERROR(__xludf.DUMMYFUNCTION("""COMPUTED_VALUE"""),"")</f>
        <v/>
      </c>
      <c r="AA305" s="148" t="str">
        <f>IFERROR(__xludf.DUMMYFUNCTION("""COMPUTED_VALUE"""),"")</f>
        <v/>
      </c>
      <c r="AB305" s="148" t="str">
        <f>IFERROR(__xludf.DUMMYFUNCTION("""COMPUTED_VALUE"""),"")</f>
        <v/>
      </c>
      <c r="AC305" s="149"/>
      <c r="AD305" s="148"/>
      <c r="AE305" s="148"/>
      <c r="AF305" s="148" t="s">
        <v>613</v>
      </c>
      <c r="AG305" s="148"/>
      <c r="AH305" s="148"/>
      <c r="AI305" s="148" t="s">
        <v>614</v>
      </c>
      <c r="AJ305" s="148" t="s">
        <v>614</v>
      </c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</row>
    <row r="306" ht="14.25" customHeight="1">
      <c r="A306" s="179"/>
      <c r="B306" s="180"/>
      <c r="C306" s="181"/>
      <c r="D306" s="179"/>
      <c r="E306" s="215"/>
      <c r="F306" s="182"/>
      <c r="G306" s="180"/>
      <c r="H306" s="180"/>
      <c r="I306" s="180"/>
      <c r="J306" s="180"/>
      <c r="K306" s="183"/>
      <c r="L306" s="184"/>
      <c r="M306" s="185"/>
      <c r="N306" s="180"/>
      <c r="O306" s="69"/>
      <c r="P306" s="186"/>
      <c r="Q306" s="179"/>
      <c r="R306" s="180"/>
      <c r="S306" s="187"/>
      <c r="T306" s="146">
        <f t="shared" si="10"/>
        <v>0</v>
      </c>
      <c r="U306" s="146"/>
      <c r="V306" s="147"/>
      <c r="W306" s="180"/>
      <c r="X306" s="180"/>
      <c r="Y306" s="180"/>
      <c r="Z306" s="148" t="str">
        <f>IFERROR(__xludf.DUMMYFUNCTION("""COMPUTED_VALUE"""),"")</f>
        <v/>
      </c>
      <c r="AA306" s="148" t="str">
        <f>IFERROR(__xludf.DUMMYFUNCTION("""COMPUTED_VALUE"""),"")</f>
        <v/>
      </c>
      <c r="AB306" s="148" t="str">
        <f>IFERROR(__xludf.DUMMYFUNCTION("""COMPUTED_VALUE"""),"")</f>
        <v/>
      </c>
      <c r="AC306" s="149"/>
      <c r="AD306" s="148"/>
      <c r="AE306" s="148"/>
      <c r="AF306" s="148" t="s">
        <v>613</v>
      </c>
      <c r="AG306" s="148"/>
      <c r="AH306" s="148"/>
      <c r="AI306" s="148" t="s">
        <v>614</v>
      </c>
      <c r="AJ306" s="148" t="s">
        <v>614</v>
      </c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</row>
    <row r="307" ht="14.25" customHeight="1">
      <c r="A307" s="179"/>
      <c r="B307" s="180"/>
      <c r="C307" s="181"/>
      <c r="D307" s="179"/>
      <c r="E307" s="215"/>
      <c r="F307" s="182"/>
      <c r="G307" s="180"/>
      <c r="H307" s="180"/>
      <c r="I307" s="180"/>
      <c r="J307" s="180"/>
      <c r="K307" s="183"/>
      <c r="L307" s="184"/>
      <c r="M307" s="185"/>
      <c r="N307" s="180"/>
      <c r="O307" s="69"/>
      <c r="P307" s="186"/>
      <c r="Q307" s="179"/>
      <c r="R307" s="180"/>
      <c r="S307" s="187"/>
      <c r="T307" s="146">
        <f t="shared" si="10"/>
        <v>0</v>
      </c>
      <c r="U307" s="146"/>
      <c r="V307" s="188"/>
      <c r="W307" s="180"/>
      <c r="X307" s="180"/>
      <c r="Y307" s="180"/>
      <c r="Z307" s="148" t="str">
        <f>IFERROR(__xludf.DUMMYFUNCTION("""COMPUTED_VALUE"""),"")</f>
        <v/>
      </c>
      <c r="AA307" s="148" t="str">
        <f>IFERROR(__xludf.DUMMYFUNCTION("""COMPUTED_VALUE"""),"")</f>
        <v/>
      </c>
      <c r="AB307" s="148" t="str">
        <f>IFERROR(__xludf.DUMMYFUNCTION("""COMPUTED_VALUE"""),"")</f>
        <v/>
      </c>
      <c r="AC307" s="149"/>
      <c r="AD307" s="148"/>
      <c r="AE307" s="148"/>
      <c r="AF307" s="148" t="s">
        <v>613</v>
      </c>
      <c r="AG307" s="148"/>
      <c r="AH307" s="148"/>
      <c r="AI307" s="148" t="s">
        <v>614</v>
      </c>
      <c r="AJ307" s="148" t="s">
        <v>614</v>
      </c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</row>
    <row r="308" ht="14.25" customHeight="1">
      <c r="A308" s="179"/>
      <c r="B308" s="180"/>
      <c r="C308" s="181"/>
      <c r="D308" s="179"/>
      <c r="E308" s="215"/>
      <c r="F308" s="182"/>
      <c r="G308" s="180"/>
      <c r="H308" s="180"/>
      <c r="I308" s="180"/>
      <c r="J308" s="180"/>
      <c r="K308" s="183"/>
      <c r="L308" s="184"/>
      <c r="M308" s="185"/>
      <c r="N308" s="180"/>
      <c r="O308" s="69"/>
      <c r="P308" s="186"/>
      <c r="Q308" s="179"/>
      <c r="R308" s="180"/>
      <c r="S308" s="187"/>
      <c r="T308" s="146">
        <f t="shared" si="10"/>
        <v>0</v>
      </c>
      <c r="U308" s="146"/>
      <c r="V308" s="188"/>
      <c r="W308" s="180"/>
      <c r="X308" s="180"/>
      <c r="Y308" s="180"/>
      <c r="Z308" s="148" t="str">
        <f>IFERROR(__xludf.DUMMYFUNCTION("""COMPUTED_VALUE"""),"")</f>
        <v/>
      </c>
      <c r="AA308" s="148" t="str">
        <f>IFERROR(__xludf.DUMMYFUNCTION("""COMPUTED_VALUE"""),"")</f>
        <v/>
      </c>
      <c r="AB308" s="148" t="str">
        <f>IFERROR(__xludf.DUMMYFUNCTION("""COMPUTED_VALUE"""),"")</f>
        <v/>
      </c>
      <c r="AC308" s="149"/>
      <c r="AD308" s="148"/>
      <c r="AE308" s="148"/>
      <c r="AF308" s="148" t="s">
        <v>613</v>
      </c>
      <c r="AG308" s="148"/>
      <c r="AH308" s="148"/>
      <c r="AI308" s="148" t="s">
        <v>614</v>
      </c>
      <c r="AJ308" s="148" t="s">
        <v>614</v>
      </c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</row>
    <row r="309" ht="14.25" customHeight="1">
      <c r="A309" s="179"/>
      <c r="B309" s="180"/>
      <c r="C309" s="181"/>
      <c r="D309" s="179"/>
      <c r="E309" s="215"/>
      <c r="F309" s="182"/>
      <c r="G309" s="180"/>
      <c r="H309" s="180"/>
      <c r="I309" s="180"/>
      <c r="J309" s="180"/>
      <c r="K309" s="183"/>
      <c r="L309" s="184"/>
      <c r="M309" s="185"/>
      <c r="N309" s="180"/>
      <c r="O309" s="69"/>
      <c r="P309" s="186"/>
      <c r="Q309" s="179"/>
      <c r="R309" s="180"/>
      <c r="S309" s="187"/>
      <c r="T309" s="146">
        <f t="shared" si="10"/>
        <v>0</v>
      </c>
      <c r="U309" s="146"/>
      <c r="V309" s="188"/>
      <c r="W309" s="180"/>
      <c r="X309" s="180"/>
      <c r="Y309" s="180"/>
      <c r="Z309" s="148" t="str">
        <f>IFERROR(__xludf.DUMMYFUNCTION("""COMPUTED_VALUE"""),"")</f>
        <v/>
      </c>
      <c r="AA309" s="148" t="str">
        <f>IFERROR(__xludf.DUMMYFUNCTION("""COMPUTED_VALUE"""),"")</f>
        <v/>
      </c>
      <c r="AB309" s="148" t="str">
        <f>IFERROR(__xludf.DUMMYFUNCTION("""COMPUTED_VALUE"""),"")</f>
        <v/>
      </c>
      <c r="AC309" s="149"/>
      <c r="AD309" s="148"/>
      <c r="AE309" s="148"/>
      <c r="AF309" s="148" t="s">
        <v>613</v>
      </c>
      <c r="AG309" s="148"/>
      <c r="AH309" s="148"/>
      <c r="AI309" s="148" t="s">
        <v>614</v>
      </c>
      <c r="AJ309" s="148" t="s">
        <v>614</v>
      </c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</row>
    <row r="310" ht="14.25" customHeight="1">
      <c r="A310" s="179"/>
      <c r="B310" s="180"/>
      <c r="C310" s="181"/>
      <c r="D310" s="179"/>
      <c r="E310" s="215"/>
      <c r="F310" s="182"/>
      <c r="G310" s="180"/>
      <c r="H310" s="180"/>
      <c r="I310" s="180"/>
      <c r="J310" s="180"/>
      <c r="K310" s="183"/>
      <c r="L310" s="184"/>
      <c r="M310" s="185"/>
      <c r="N310" s="180"/>
      <c r="O310" s="69"/>
      <c r="P310" s="186"/>
      <c r="Q310" s="179"/>
      <c r="R310" s="180"/>
      <c r="S310" s="187"/>
      <c r="T310" s="146">
        <f t="shared" si="10"/>
        <v>0</v>
      </c>
      <c r="U310" s="146"/>
      <c r="V310" s="188"/>
      <c r="W310" s="180"/>
      <c r="X310" s="180"/>
      <c r="Y310" s="180"/>
      <c r="Z310" s="148" t="str">
        <f>IFERROR(__xludf.DUMMYFUNCTION("""COMPUTED_VALUE"""),"")</f>
        <v/>
      </c>
      <c r="AA310" s="148" t="str">
        <f>IFERROR(__xludf.DUMMYFUNCTION("""COMPUTED_VALUE"""),"")</f>
        <v/>
      </c>
      <c r="AB310" s="148" t="str">
        <f>IFERROR(__xludf.DUMMYFUNCTION("""COMPUTED_VALUE"""),"")</f>
        <v/>
      </c>
      <c r="AC310" s="149"/>
      <c r="AD310" s="148"/>
      <c r="AE310" s="148"/>
      <c r="AF310" s="148" t="s">
        <v>613</v>
      </c>
      <c r="AG310" s="148"/>
      <c r="AH310" s="148"/>
      <c r="AI310" s="148" t="s">
        <v>614</v>
      </c>
      <c r="AJ310" s="148" t="s">
        <v>614</v>
      </c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</row>
    <row r="311" ht="14.25" customHeight="1">
      <c r="A311" s="179"/>
      <c r="B311" s="180"/>
      <c r="C311" s="181"/>
      <c r="D311" s="179"/>
      <c r="E311" s="215"/>
      <c r="F311" s="182"/>
      <c r="G311" s="180"/>
      <c r="H311" s="180"/>
      <c r="I311" s="180"/>
      <c r="J311" s="180"/>
      <c r="K311" s="183"/>
      <c r="L311" s="184"/>
      <c r="M311" s="185"/>
      <c r="N311" s="180"/>
      <c r="O311" s="69"/>
      <c r="P311" s="186"/>
      <c r="Q311" s="179"/>
      <c r="R311" s="180"/>
      <c r="S311" s="187"/>
      <c r="T311" s="146">
        <f t="shared" si="10"/>
        <v>0</v>
      </c>
      <c r="U311" s="146"/>
      <c r="V311" s="188"/>
      <c r="W311" s="180"/>
      <c r="X311" s="180"/>
      <c r="Y311" s="180"/>
      <c r="Z311" s="148" t="str">
        <f>IFERROR(__xludf.DUMMYFUNCTION("""COMPUTED_VALUE"""),"")</f>
        <v/>
      </c>
      <c r="AA311" s="148" t="str">
        <f>IFERROR(__xludf.DUMMYFUNCTION("""COMPUTED_VALUE"""),"")</f>
        <v/>
      </c>
      <c r="AB311" s="148" t="str">
        <f>IFERROR(__xludf.DUMMYFUNCTION("""COMPUTED_VALUE"""),"")</f>
        <v/>
      </c>
      <c r="AC311" s="149"/>
      <c r="AD311" s="148"/>
      <c r="AE311" s="148"/>
      <c r="AF311" s="148" t="s">
        <v>613</v>
      </c>
      <c r="AG311" s="148"/>
      <c r="AH311" s="148"/>
      <c r="AI311" s="148" t="s">
        <v>614</v>
      </c>
      <c r="AJ311" s="148" t="s">
        <v>614</v>
      </c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</row>
    <row r="312" ht="14.25" customHeight="1">
      <c r="A312" s="179"/>
      <c r="B312" s="180"/>
      <c r="C312" s="181"/>
      <c r="D312" s="179"/>
      <c r="E312" s="215"/>
      <c r="F312" s="182"/>
      <c r="G312" s="180"/>
      <c r="H312" s="180"/>
      <c r="I312" s="180"/>
      <c r="J312" s="180"/>
      <c r="K312" s="183"/>
      <c r="L312" s="184"/>
      <c r="M312" s="185"/>
      <c r="N312" s="180"/>
      <c r="O312" s="69"/>
      <c r="P312" s="186"/>
      <c r="Q312" s="179"/>
      <c r="R312" s="180"/>
      <c r="S312" s="187"/>
      <c r="T312" s="146">
        <f t="shared" si="10"/>
        <v>0</v>
      </c>
      <c r="U312" s="146"/>
      <c r="V312" s="188"/>
      <c r="W312" s="180"/>
      <c r="X312" s="180"/>
      <c r="Y312" s="180"/>
      <c r="Z312" s="148" t="str">
        <f>IFERROR(__xludf.DUMMYFUNCTION("""COMPUTED_VALUE"""),"")</f>
        <v/>
      </c>
      <c r="AA312" s="148" t="str">
        <f>IFERROR(__xludf.DUMMYFUNCTION("""COMPUTED_VALUE"""),"")</f>
        <v/>
      </c>
      <c r="AB312" s="148" t="str">
        <f>IFERROR(__xludf.DUMMYFUNCTION("""COMPUTED_VALUE"""),"")</f>
        <v/>
      </c>
      <c r="AC312" s="149"/>
      <c r="AD312" s="148"/>
      <c r="AE312" s="148"/>
      <c r="AF312" s="148" t="s">
        <v>613</v>
      </c>
      <c r="AG312" s="148"/>
      <c r="AH312" s="148"/>
      <c r="AI312" s="148" t="s">
        <v>614</v>
      </c>
      <c r="AJ312" s="148" t="s">
        <v>614</v>
      </c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</row>
    <row r="313" ht="14.25" customHeight="1">
      <c r="A313" s="179"/>
      <c r="B313" s="180"/>
      <c r="C313" s="181"/>
      <c r="D313" s="179"/>
      <c r="E313" s="215"/>
      <c r="F313" s="182"/>
      <c r="G313" s="180"/>
      <c r="H313" s="180"/>
      <c r="I313" s="180"/>
      <c r="J313" s="180"/>
      <c r="K313" s="183"/>
      <c r="L313" s="184"/>
      <c r="M313" s="185"/>
      <c r="N313" s="180"/>
      <c r="O313" s="69"/>
      <c r="P313" s="186"/>
      <c r="Q313" s="179"/>
      <c r="R313" s="180"/>
      <c r="S313" s="187"/>
      <c r="T313" s="146">
        <f t="shared" si="10"/>
        <v>0</v>
      </c>
      <c r="U313" s="146"/>
      <c r="V313" s="188"/>
      <c r="W313" s="180"/>
      <c r="X313" s="180"/>
      <c r="Y313" s="180"/>
      <c r="Z313" s="148" t="str">
        <f>IFERROR(__xludf.DUMMYFUNCTION("""COMPUTED_VALUE"""),"")</f>
        <v/>
      </c>
      <c r="AA313" s="148" t="str">
        <f>IFERROR(__xludf.DUMMYFUNCTION("""COMPUTED_VALUE"""),"")</f>
        <v/>
      </c>
      <c r="AB313" s="148" t="str">
        <f>IFERROR(__xludf.DUMMYFUNCTION("""COMPUTED_VALUE"""),"")</f>
        <v/>
      </c>
      <c r="AC313" s="149"/>
      <c r="AD313" s="148"/>
      <c r="AE313" s="148"/>
      <c r="AF313" s="148" t="s">
        <v>613</v>
      </c>
      <c r="AG313" s="148"/>
      <c r="AH313" s="148"/>
      <c r="AI313" s="148" t="s">
        <v>614</v>
      </c>
      <c r="AJ313" s="148" t="s">
        <v>614</v>
      </c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</row>
    <row r="314" ht="14.25" customHeight="1">
      <c r="A314" s="179"/>
      <c r="B314" s="180"/>
      <c r="C314" s="181"/>
      <c r="D314" s="179"/>
      <c r="E314" s="215"/>
      <c r="F314" s="182"/>
      <c r="G314" s="180"/>
      <c r="H314" s="180"/>
      <c r="I314" s="180"/>
      <c r="J314" s="180"/>
      <c r="K314" s="183"/>
      <c r="L314" s="184"/>
      <c r="M314" s="185"/>
      <c r="N314" s="180"/>
      <c r="O314" s="69"/>
      <c r="P314" s="186"/>
      <c r="Q314" s="179"/>
      <c r="R314" s="180"/>
      <c r="S314" s="187"/>
      <c r="T314" s="146">
        <f t="shared" si="10"/>
        <v>0</v>
      </c>
      <c r="U314" s="146"/>
      <c r="V314" s="188"/>
      <c r="W314" s="180"/>
      <c r="X314" s="180"/>
      <c r="Y314" s="180"/>
      <c r="Z314" s="148" t="str">
        <f>IFERROR(__xludf.DUMMYFUNCTION("""COMPUTED_VALUE"""),"")</f>
        <v/>
      </c>
      <c r="AA314" s="148" t="str">
        <f>IFERROR(__xludf.DUMMYFUNCTION("""COMPUTED_VALUE"""),"")</f>
        <v/>
      </c>
      <c r="AB314" s="148" t="str">
        <f>IFERROR(__xludf.DUMMYFUNCTION("""COMPUTED_VALUE"""),"")</f>
        <v/>
      </c>
      <c r="AC314" s="149"/>
      <c r="AD314" s="148"/>
      <c r="AE314" s="148"/>
      <c r="AF314" s="148" t="s">
        <v>613</v>
      </c>
      <c r="AG314" s="148"/>
      <c r="AH314" s="148"/>
      <c r="AI314" s="148" t="s">
        <v>614</v>
      </c>
      <c r="AJ314" s="148" t="s">
        <v>614</v>
      </c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</row>
    <row r="315" ht="14.25" customHeight="1">
      <c r="A315" s="179"/>
      <c r="B315" s="180"/>
      <c r="C315" s="181"/>
      <c r="D315" s="179"/>
      <c r="E315" s="215"/>
      <c r="F315" s="182"/>
      <c r="G315" s="180"/>
      <c r="H315" s="180"/>
      <c r="I315" s="180"/>
      <c r="J315" s="180"/>
      <c r="K315" s="183"/>
      <c r="L315" s="184"/>
      <c r="M315" s="185"/>
      <c r="N315" s="180"/>
      <c r="O315" s="69"/>
      <c r="P315" s="186"/>
      <c r="Q315" s="179"/>
      <c r="R315" s="180"/>
      <c r="S315" s="187"/>
      <c r="T315" s="146">
        <f t="shared" si="10"/>
        <v>0</v>
      </c>
      <c r="U315" s="146"/>
      <c r="V315" s="188"/>
      <c r="W315" s="180"/>
      <c r="X315" s="180"/>
      <c r="Y315" s="180"/>
      <c r="Z315" s="148" t="str">
        <f>IFERROR(__xludf.DUMMYFUNCTION("""COMPUTED_VALUE"""),"")</f>
        <v/>
      </c>
      <c r="AA315" s="148" t="str">
        <f>IFERROR(__xludf.DUMMYFUNCTION("""COMPUTED_VALUE"""),"")</f>
        <v/>
      </c>
      <c r="AB315" s="148" t="str">
        <f>IFERROR(__xludf.DUMMYFUNCTION("""COMPUTED_VALUE"""),"")</f>
        <v/>
      </c>
      <c r="AC315" s="149"/>
      <c r="AD315" s="148"/>
      <c r="AE315" s="148"/>
      <c r="AF315" s="148" t="s">
        <v>613</v>
      </c>
      <c r="AG315" s="148"/>
      <c r="AH315" s="148"/>
      <c r="AI315" s="148" t="s">
        <v>614</v>
      </c>
      <c r="AJ315" s="148" t="s">
        <v>614</v>
      </c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</row>
    <row r="316" ht="14.25" customHeight="1">
      <c r="A316" s="179"/>
      <c r="B316" s="180"/>
      <c r="C316" s="181"/>
      <c r="D316" s="179"/>
      <c r="E316" s="215"/>
      <c r="F316" s="182"/>
      <c r="G316" s="180"/>
      <c r="H316" s="180"/>
      <c r="I316" s="180"/>
      <c r="J316" s="180"/>
      <c r="K316" s="183"/>
      <c r="L316" s="184"/>
      <c r="M316" s="185"/>
      <c r="N316" s="180"/>
      <c r="O316" s="69"/>
      <c r="P316" s="186"/>
      <c r="Q316" s="179"/>
      <c r="R316" s="180"/>
      <c r="S316" s="187"/>
      <c r="T316" s="146">
        <f t="shared" si="10"/>
        <v>0</v>
      </c>
      <c r="U316" s="146"/>
      <c r="V316" s="188"/>
      <c r="W316" s="180"/>
      <c r="X316" s="180"/>
      <c r="Y316" s="180"/>
      <c r="Z316" s="148" t="str">
        <f>IFERROR(__xludf.DUMMYFUNCTION("""COMPUTED_VALUE"""),"")</f>
        <v/>
      </c>
      <c r="AA316" s="148" t="str">
        <f>IFERROR(__xludf.DUMMYFUNCTION("""COMPUTED_VALUE"""),"")</f>
        <v/>
      </c>
      <c r="AB316" s="148" t="str">
        <f>IFERROR(__xludf.DUMMYFUNCTION("""COMPUTED_VALUE"""),"")</f>
        <v/>
      </c>
      <c r="AC316" s="149"/>
      <c r="AD316" s="148"/>
      <c r="AE316" s="148"/>
      <c r="AF316" s="148" t="s">
        <v>613</v>
      </c>
      <c r="AG316" s="148"/>
      <c r="AH316" s="148"/>
      <c r="AI316" s="148" t="s">
        <v>614</v>
      </c>
      <c r="AJ316" s="148" t="s">
        <v>614</v>
      </c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</row>
    <row r="317" ht="14.25" customHeight="1">
      <c r="A317" s="179"/>
      <c r="B317" s="180"/>
      <c r="C317" s="181"/>
      <c r="D317" s="179"/>
      <c r="E317" s="215"/>
      <c r="F317" s="182"/>
      <c r="G317" s="180"/>
      <c r="H317" s="180"/>
      <c r="I317" s="180"/>
      <c r="J317" s="180"/>
      <c r="K317" s="183"/>
      <c r="L317" s="184"/>
      <c r="M317" s="185"/>
      <c r="N317" s="180"/>
      <c r="O317" s="69"/>
      <c r="P317" s="186"/>
      <c r="Q317" s="179"/>
      <c r="R317" s="180"/>
      <c r="S317" s="187"/>
      <c r="T317" s="146">
        <f t="shared" si="10"/>
        <v>0</v>
      </c>
      <c r="U317" s="146"/>
      <c r="V317" s="188"/>
      <c r="W317" s="180"/>
      <c r="X317" s="180"/>
      <c r="Y317" s="180"/>
      <c r="Z317" s="148" t="str">
        <f>IFERROR(__xludf.DUMMYFUNCTION("""COMPUTED_VALUE"""),"")</f>
        <v/>
      </c>
      <c r="AA317" s="148" t="str">
        <f>IFERROR(__xludf.DUMMYFUNCTION("""COMPUTED_VALUE"""),"")</f>
        <v/>
      </c>
      <c r="AB317" s="148" t="str">
        <f>IFERROR(__xludf.DUMMYFUNCTION("""COMPUTED_VALUE"""),"")</f>
        <v/>
      </c>
      <c r="AC317" s="149"/>
      <c r="AD317" s="148"/>
      <c r="AE317" s="148"/>
      <c r="AF317" s="148" t="s">
        <v>613</v>
      </c>
      <c r="AG317" s="148"/>
      <c r="AH317" s="148"/>
      <c r="AI317" s="148" t="s">
        <v>614</v>
      </c>
      <c r="AJ317" s="148" t="s">
        <v>614</v>
      </c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</row>
    <row r="318" ht="14.25" customHeight="1">
      <c r="A318" s="179"/>
      <c r="B318" s="180"/>
      <c r="C318" s="181"/>
      <c r="D318" s="179"/>
      <c r="E318" s="215"/>
      <c r="F318" s="182"/>
      <c r="G318" s="180"/>
      <c r="H318" s="180"/>
      <c r="I318" s="180"/>
      <c r="J318" s="180"/>
      <c r="K318" s="183"/>
      <c r="L318" s="184"/>
      <c r="M318" s="185"/>
      <c r="N318" s="180"/>
      <c r="O318" s="69"/>
      <c r="P318" s="186"/>
      <c r="Q318" s="179"/>
      <c r="R318" s="180"/>
      <c r="S318" s="187"/>
      <c r="T318" s="146">
        <f t="shared" si="10"/>
        <v>0</v>
      </c>
      <c r="U318" s="146"/>
      <c r="V318" s="188"/>
      <c r="W318" s="180"/>
      <c r="X318" s="180"/>
      <c r="Y318" s="180"/>
      <c r="Z318" s="148" t="str">
        <f>IFERROR(__xludf.DUMMYFUNCTION("""COMPUTED_VALUE"""),"")</f>
        <v/>
      </c>
      <c r="AA318" s="148" t="str">
        <f>IFERROR(__xludf.DUMMYFUNCTION("""COMPUTED_VALUE"""),"")</f>
        <v/>
      </c>
      <c r="AB318" s="148" t="str">
        <f>IFERROR(__xludf.DUMMYFUNCTION("""COMPUTED_VALUE"""),"")</f>
        <v/>
      </c>
      <c r="AC318" s="149"/>
      <c r="AD318" s="148"/>
      <c r="AE318" s="148"/>
      <c r="AF318" s="148" t="s">
        <v>613</v>
      </c>
      <c r="AG318" s="148"/>
      <c r="AH318" s="148"/>
      <c r="AI318" s="148" t="s">
        <v>614</v>
      </c>
      <c r="AJ318" s="148" t="s">
        <v>614</v>
      </c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</row>
    <row r="319" ht="14.25" customHeight="1">
      <c r="A319" s="179"/>
      <c r="B319" s="180"/>
      <c r="C319" s="181"/>
      <c r="D319" s="179"/>
      <c r="E319" s="215"/>
      <c r="F319" s="182"/>
      <c r="G319" s="180"/>
      <c r="H319" s="180"/>
      <c r="I319" s="180"/>
      <c r="J319" s="180"/>
      <c r="K319" s="183"/>
      <c r="L319" s="184"/>
      <c r="M319" s="185"/>
      <c r="N319" s="180"/>
      <c r="O319" s="69">
        <f t="shared" ref="O319:O331" si="34">J319-(N319*0.2)</f>
        <v>0</v>
      </c>
      <c r="P319" s="186"/>
      <c r="Q319" s="179"/>
      <c r="R319" s="180"/>
      <c r="S319" s="187"/>
      <c r="T319" s="146">
        <f t="shared" si="10"/>
        <v>0</v>
      </c>
      <c r="U319" s="146"/>
      <c r="V319" s="188"/>
      <c r="W319" s="180"/>
      <c r="X319" s="180"/>
      <c r="Y319" s="180"/>
      <c r="Z319" s="148" t="str">
        <f>IFERROR(__xludf.DUMMYFUNCTION("""COMPUTED_VALUE"""),"")</f>
        <v/>
      </c>
      <c r="AA319" s="148" t="str">
        <f>IFERROR(__xludf.DUMMYFUNCTION("""COMPUTED_VALUE"""),"")</f>
        <v/>
      </c>
      <c r="AB319" s="148" t="str">
        <f>IFERROR(__xludf.DUMMYFUNCTION("""COMPUTED_VALUE"""),"")</f>
        <v/>
      </c>
      <c r="AC319" s="149"/>
      <c r="AD319" s="148"/>
      <c r="AE319" s="148"/>
      <c r="AF319" s="148" t="s">
        <v>613</v>
      </c>
      <c r="AG319" s="148"/>
      <c r="AH319" s="148"/>
      <c r="AI319" s="148" t="s">
        <v>614</v>
      </c>
      <c r="AJ319" s="148" t="s">
        <v>614</v>
      </c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</row>
    <row r="320" ht="14.25" customHeight="1">
      <c r="A320" s="179"/>
      <c r="B320" s="180"/>
      <c r="C320" s="181"/>
      <c r="D320" s="179"/>
      <c r="E320" s="215"/>
      <c r="F320" s="182"/>
      <c r="G320" s="180"/>
      <c r="H320" s="180"/>
      <c r="I320" s="180"/>
      <c r="J320" s="180"/>
      <c r="K320" s="183"/>
      <c r="L320" s="184"/>
      <c r="M320" s="185"/>
      <c r="N320" s="180"/>
      <c r="O320" s="69">
        <f t="shared" si="34"/>
        <v>0</v>
      </c>
      <c r="P320" s="186"/>
      <c r="Q320" s="179"/>
      <c r="R320" s="180"/>
      <c r="S320" s="187"/>
      <c r="T320" s="146">
        <f t="shared" si="10"/>
        <v>0</v>
      </c>
      <c r="U320" s="146"/>
      <c r="V320" s="188"/>
      <c r="W320" s="180"/>
      <c r="X320" s="180"/>
      <c r="Y320" s="180"/>
      <c r="Z320" s="148" t="str">
        <f>IFERROR(__xludf.DUMMYFUNCTION("""COMPUTED_VALUE"""),"")</f>
        <v/>
      </c>
      <c r="AA320" s="148" t="str">
        <f>IFERROR(__xludf.DUMMYFUNCTION("""COMPUTED_VALUE"""),"")</f>
        <v/>
      </c>
      <c r="AB320" s="148" t="str">
        <f>IFERROR(__xludf.DUMMYFUNCTION("""COMPUTED_VALUE"""),"")</f>
        <v/>
      </c>
      <c r="AC320" s="149"/>
      <c r="AD320" s="148"/>
      <c r="AE320" s="148"/>
      <c r="AF320" s="148" t="s">
        <v>613</v>
      </c>
      <c r="AG320" s="148"/>
      <c r="AH320" s="148"/>
      <c r="AI320" s="148" t="s">
        <v>614</v>
      </c>
      <c r="AJ320" s="148" t="s">
        <v>614</v>
      </c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</row>
    <row r="321" ht="14.25" customHeight="1">
      <c r="A321" s="179"/>
      <c r="B321" s="180"/>
      <c r="C321" s="181"/>
      <c r="D321" s="179"/>
      <c r="E321" s="215"/>
      <c r="F321" s="182"/>
      <c r="G321" s="180"/>
      <c r="H321" s="180"/>
      <c r="I321" s="180"/>
      <c r="J321" s="180"/>
      <c r="K321" s="183"/>
      <c r="L321" s="184"/>
      <c r="M321" s="185"/>
      <c r="N321" s="180"/>
      <c r="O321" s="69">
        <f t="shared" si="34"/>
        <v>0</v>
      </c>
      <c r="P321" s="186"/>
      <c r="Q321" s="179"/>
      <c r="R321" s="180"/>
      <c r="S321" s="187"/>
      <c r="T321" s="146">
        <f t="shared" si="10"/>
        <v>0</v>
      </c>
      <c r="U321" s="146"/>
      <c r="V321" s="188"/>
      <c r="W321" s="180"/>
      <c r="X321" s="180"/>
      <c r="Y321" s="180"/>
      <c r="Z321" s="148" t="str">
        <f>IFERROR(__xludf.DUMMYFUNCTION("""COMPUTED_VALUE"""),"")</f>
        <v/>
      </c>
      <c r="AA321" s="148" t="str">
        <f>IFERROR(__xludf.DUMMYFUNCTION("""COMPUTED_VALUE"""),"")</f>
        <v/>
      </c>
      <c r="AB321" s="148" t="str">
        <f>IFERROR(__xludf.DUMMYFUNCTION("""COMPUTED_VALUE"""),"")</f>
        <v/>
      </c>
      <c r="AC321" s="149"/>
      <c r="AD321" s="148"/>
      <c r="AE321" s="148"/>
      <c r="AF321" s="148" t="s">
        <v>613</v>
      </c>
      <c r="AG321" s="148"/>
      <c r="AH321" s="148"/>
      <c r="AI321" s="148" t="s">
        <v>614</v>
      </c>
      <c r="AJ321" s="148" t="s">
        <v>614</v>
      </c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</row>
    <row r="322" ht="14.25" customHeight="1">
      <c r="A322" s="179"/>
      <c r="B322" s="180"/>
      <c r="C322" s="181"/>
      <c r="D322" s="179"/>
      <c r="E322" s="215"/>
      <c r="F322" s="182"/>
      <c r="G322" s="180"/>
      <c r="H322" s="180"/>
      <c r="I322" s="180"/>
      <c r="J322" s="180"/>
      <c r="K322" s="183"/>
      <c r="L322" s="184"/>
      <c r="M322" s="185"/>
      <c r="N322" s="180"/>
      <c r="O322" s="69">
        <f t="shared" si="34"/>
        <v>0</v>
      </c>
      <c r="P322" s="186"/>
      <c r="Q322" s="179"/>
      <c r="R322" s="180"/>
      <c r="S322" s="187"/>
      <c r="T322" s="146">
        <f t="shared" si="10"/>
        <v>0</v>
      </c>
      <c r="U322" s="146"/>
      <c r="V322" s="188"/>
      <c r="W322" s="180"/>
      <c r="X322" s="180"/>
      <c r="Y322" s="180"/>
      <c r="Z322" s="148" t="str">
        <f>IFERROR(__xludf.DUMMYFUNCTION("""COMPUTED_VALUE"""),"")</f>
        <v/>
      </c>
      <c r="AA322" s="148" t="str">
        <f>IFERROR(__xludf.DUMMYFUNCTION("""COMPUTED_VALUE"""),"")</f>
        <v/>
      </c>
      <c r="AB322" s="148" t="str">
        <f>IFERROR(__xludf.DUMMYFUNCTION("""COMPUTED_VALUE"""),"")</f>
        <v/>
      </c>
      <c r="AC322" s="149"/>
      <c r="AD322" s="148"/>
      <c r="AE322" s="148"/>
      <c r="AF322" s="148" t="s">
        <v>613</v>
      </c>
      <c r="AG322" s="148"/>
      <c r="AH322" s="148"/>
      <c r="AI322" s="148" t="s">
        <v>614</v>
      </c>
      <c r="AJ322" s="148" t="s">
        <v>614</v>
      </c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</row>
    <row r="323" ht="14.25" customHeight="1">
      <c r="A323" s="179"/>
      <c r="B323" s="180"/>
      <c r="C323" s="181"/>
      <c r="D323" s="179"/>
      <c r="E323" s="215"/>
      <c r="F323" s="182"/>
      <c r="G323" s="180"/>
      <c r="H323" s="180"/>
      <c r="I323" s="180"/>
      <c r="J323" s="180"/>
      <c r="K323" s="183"/>
      <c r="L323" s="184"/>
      <c r="M323" s="185"/>
      <c r="N323" s="180"/>
      <c r="O323" s="69">
        <f t="shared" si="34"/>
        <v>0</v>
      </c>
      <c r="P323" s="186"/>
      <c r="Q323" s="179"/>
      <c r="R323" s="180"/>
      <c r="S323" s="187"/>
      <c r="T323" s="146">
        <f t="shared" si="10"/>
        <v>0</v>
      </c>
      <c r="U323" s="146"/>
      <c r="V323" s="188"/>
      <c r="W323" s="180"/>
      <c r="X323" s="180"/>
      <c r="Y323" s="180"/>
      <c r="Z323" s="148" t="str">
        <f>IFERROR(__xludf.DUMMYFUNCTION("""COMPUTED_VALUE"""),"")</f>
        <v/>
      </c>
      <c r="AA323" s="148" t="str">
        <f>IFERROR(__xludf.DUMMYFUNCTION("""COMPUTED_VALUE"""),"")</f>
        <v/>
      </c>
      <c r="AB323" s="148" t="str">
        <f>IFERROR(__xludf.DUMMYFUNCTION("""COMPUTED_VALUE"""),"")</f>
        <v/>
      </c>
      <c r="AC323" s="149"/>
      <c r="AD323" s="148"/>
      <c r="AE323" s="148"/>
      <c r="AF323" s="148" t="s">
        <v>613</v>
      </c>
      <c r="AG323" s="148"/>
      <c r="AH323" s="148"/>
      <c r="AI323" s="148" t="s">
        <v>614</v>
      </c>
      <c r="AJ323" s="148" t="s">
        <v>614</v>
      </c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</row>
    <row r="324" ht="14.25" customHeight="1">
      <c r="A324" s="179"/>
      <c r="B324" s="180"/>
      <c r="C324" s="181"/>
      <c r="D324" s="179"/>
      <c r="E324" s="215"/>
      <c r="F324" s="182"/>
      <c r="G324" s="180"/>
      <c r="H324" s="180"/>
      <c r="I324" s="180"/>
      <c r="J324" s="180"/>
      <c r="K324" s="183"/>
      <c r="L324" s="184"/>
      <c r="M324" s="185"/>
      <c r="N324" s="180"/>
      <c r="O324" s="69">
        <f t="shared" si="34"/>
        <v>0</v>
      </c>
      <c r="P324" s="186"/>
      <c r="Q324" s="179"/>
      <c r="R324" s="180"/>
      <c r="S324" s="187"/>
      <c r="T324" s="146">
        <f t="shared" si="10"/>
        <v>0</v>
      </c>
      <c r="U324" s="146"/>
      <c r="V324" s="188"/>
      <c r="W324" s="180"/>
      <c r="X324" s="180"/>
      <c r="Y324" s="180"/>
      <c r="Z324" s="148" t="str">
        <f>IFERROR(__xludf.DUMMYFUNCTION("""COMPUTED_VALUE"""),"")</f>
        <v/>
      </c>
      <c r="AA324" s="148" t="str">
        <f>IFERROR(__xludf.DUMMYFUNCTION("""COMPUTED_VALUE"""),"")</f>
        <v/>
      </c>
      <c r="AB324" s="148" t="str">
        <f>IFERROR(__xludf.DUMMYFUNCTION("""COMPUTED_VALUE"""),"")</f>
        <v/>
      </c>
      <c r="AC324" s="149"/>
      <c r="AD324" s="148"/>
      <c r="AE324" s="148"/>
      <c r="AF324" s="148" t="s">
        <v>613</v>
      </c>
      <c r="AG324" s="148"/>
      <c r="AH324" s="148"/>
      <c r="AI324" s="148" t="s">
        <v>614</v>
      </c>
      <c r="AJ324" s="148" t="s">
        <v>614</v>
      </c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</row>
    <row r="325" ht="14.25" customHeight="1">
      <c r="A325" s="179"/>
      <c r="B325" s="180"/>
      <c r="C325" s="181"/>
      <c r="D325" s="179"/>
      <c r="E325" s="215"/>
      <c r="F325" s="182"/>
      <c r="G325" s="180"/>
      <c r="H325" s="180"/>
      <c r="I325" s="180"/>
      <c r="J325" s="180"/>
      <c r="K325" s="183"/>
      <c r="L325" s="184"/>
      <c r="M325" s="185"/>
      <c r="N325" s="180"/>
      <c r="O325" s="69">
        <f t="shared" si="34"/>
        <v>0</v>
      </c>
      <c r="P325" s="186"/>
      <c r="Q325" s="179"/>
      <c r="R325" s="180"/>
      <c r="S325" s="187"/>
      <c r="T325" s="146">
        <f t="shared" si="10"/>
        <v>0</v>
      </c>
      <c r="U325" s="146"/>
      <c r="V325" s="188"/>
      <c r="W325" s="180"/>
      <c r="X325" s="180"/>
      <c r="Y325" s="180"/>
      <c r="Z325" s="148" t="str">
        <f>IFERROR(__xludf.DUMMYFUNCTION("""COMPUTED_VALUE"""),"")</f>
        <v/>
      </c>
      <c r="AA325" s="148" t="str">
        <f>IFERROR(__xludf.DUMMYFUNCTION("""COMPUTED_VALUE"""),"")</f>
        <v/>
      </c>
      <c r="AB325" s="148" t="str">
        <f>IFERROR(__xludf.DUMMYFUNCTION("""COMPUTED_VALUE"""),"")</f>
        <v/>
      </c>
      <c r="AC325" s="149"/>
      <c r="AD325" s="148"/>
      <c r="AE325" s="148"/>
      <c r="AF325" s="148" t="s">
        <v>613</v>
      </c>
      <c r="AG325" s="148"/>
      <c r="AH325" s="148"/>
      <c r="AI325" s="148" t="s">
        <v>614</v>
      </c>
      <c r="AJ325" s="148" t="s">
        <v>614</v>
      </c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</row>
    <row r="326" ht="14.25" customHeight="1">
      <c r="A326" s="179"/>
      <c r="B326" s="180"/>
      <c r="C326" s="181"/>
      <c r="D326" s="179"/>
      <c r="E326" s="215"/>
      <c r="F326" s="182"/>
      <c r="G326" s="180"/>
      <c r="H326" s="180"/>
      <c r="I326" s="180"/>
      <c r="J326" s="180"/>
      <c r="K326" s="183"/>
      <c r="L326" s="184"/>
      <c r="M326" s="185"/>
      <c r="N326" s="180"/>
      <c r="O326" s="69">
        <f t="shared" si="34"/>
        <v>0</v>
      </c>
      <c r="P326" s="186"/>
      <c r="Q326" s="179"/>
      <c r="R326" s="180"/>
      <c r="S326" s="187"/>
      <c r="T326" s="146">
        <f t="shared" si="10"/>
        <v>0</v>
      </c>
      <c r="U326" s="146"/>
      <c r="V326" s="188"/>
      <c r="W326" s="180"/>
      <c r="X326" s="180"/>
      <c r="Y326" s="180"/>
      <c r="Z326" s="148" t="str">
        <f>IFERROR(__xludf.DUMMYFUNCTION("""COMPUTED_VALUE"""),"")</f>
        <v/>
      </c>
      <c r="AA326" s="148" t="str">
        <f>IFERROR(__xludf.DUMMYFUNCTION("""COMPUTED_VALUE"""),"")</f>
        <v/>
      </c>
      <c r="AB326" s="148" t="str">
        <f>IFERROR(__xludf.DUMMYFUNCTION("""COMPUTED_VALUE"""),"")</f>
        <v/>
      </c>
      <c r="AC326" s="149"/>
      <c r="AD326" s="148"/>
      <c r="AE326" s="148"/>
      <c r="AF326" s="148" t="s">
        <v>613</v>
      </c>
      <c r="AG326" s="148"/>
      <c r="AH326" s="148"/>
      <c r="AI326" s="148" t="s">
        <v>614</v>
      </c>
      <c r="AJ326" s="148" t="s">
        <v>614</v>
      </c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</row>
    <row r="327" ht="14.25" customHeight="1">
      <c r="A327" s="179"/>
      <c r="B327" s="180"/>
      <c r="C327" s="181"/>
      <c r="D327" s="179"/>
      <c r="E327" s="215"/>
      <c r="F327" s="182"/>
      <c r="G327" s="180"/>
      <c r="H327" s="180"/>
      <c r="I327" s="180"/>
      <c r="J327" s="180"/>
      <c r="K327" s="183"/>
      <c r="L327" s="184"/>
      <c r="M327" s="185"/>
      <c r="N327" s="180"/>
      <c r="O327" s="69">
        <f t="shared" si="34"/>
        <v>0</v>
      </c>
      <c r="P327" s="186"/>
      <c r="Q327" s="179"/>
      <c r="R327" s="180"/>
      <c r="S327" s="187"/>
      <c r="T327" s="146">
        <f t="shared" si="10"/>
        <v>0</v>
      </c>
      <c r="U327" s="146"/>
      <c r="V327" s="188"/>
      <c r="W327" s="180"/>
      <c r="X327" s="180"/>
      <c r="Y327" s="180"/>
      <c r="Z327" s="148" t="str">
        <f>IFERROR(__xludf.DUMMYFUNCTION("""COMPUTED_VALUE"""),"")</f>
        <v/>
      </c>
      <c r="AA327" s="148" t="str">
        <f>IFERROR(__xludf.DUMMYFUNCTION("""COMPUTED_VALUE"""),"")</f>
        <v/>
      </c>
      <c r="AB327" s="148" t="str">
        <f>IFERROR(__xludf.DUMMYFUNCTION("""COMPUTED_VALUE"""),"")</f>
        <v/>
      </c>
      <c r="AC327" s="149"/>
      <c r="AD327" s="148"/>
      <c r="AE327" s="148"/>
      <c r="AF327" s="148" t="s">
        <v>613</v>
      </c>
      <c r="AG327" s="148"/>
      <c r="AH327" s="148"/>
      <c r="AI327" s="148" t="s">
        <v>614</v>
      </c>
      <c r="AJ327" s="148" t="s">
        <v>614</v>
      </c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</row>
    <row r="328" ht="14.25" customHeight="1">
      <c r="A328" s="179"/>
      <c r="B328" s="180"/>
      <c r="C328" s="181"/>
      <c r="D328" s="179"/>
      <c r="E328" s="215"/>
      <c r="F328" s="182"/>
      <c r="G328" s="180"/>
      <c r="H328" s="180"/>
      <c r="I328" s="180"/>
      <c r="J328" s="180"/>
      <c r="K328" s="183"/>
      <c r="L328" s="184"/>
      <c r="M328" s="185"/>
      <c r="N328" s="180"/>
      <c r="O328" s="69">
        <f t="shared" si="34"/>
        <v>0</v>
      </c>
      <c r="P328" s="186"/>
      <c r="Q328" s="179"/>
      <c r="R328" s="180"/>
      <c r="S328" s="187"/>
      <c r="T328" s="146">
        <f t="shared" si="10"/>
        <v>0</v>
      </c>
      <c r="U328" s="146"/>
      <c r="V328" s="188"/>
      <c r="W328" s="180"/>
      <c r="X328" s="180"/>
      <c r="Y328" s="180"/>
      <c r="Z328" s="148" t="str">
        <f>IFERROR(__xludf.DUMMYFUNCTION("""COMPUTED_VALUE"""),"")</f>
        <v/>
      </c>
      <c r="AA328" s="148" t="str">
        <f>IFERROR(__xludf.DUMMYFUNCTION("""COMPUTED_VALUE"""),"")</f>
        <v/>
      </c>
      <c r="AB328" s="148" t="str">
        <f>IFERROR(__xludf.DUMMYFUNCTION("""COMPUTED_VALUE"""),"")</f>
        <v/>
      </c>
      <c r="AC328" s="149"/>
      <c r="AD328" s="148"/>
      <c r="AE328" s="148"/>
      <c r="AF328" s="148" t="s">
        <v>613</v>
      </c>
      <c r="AG328" s="148"/>
      <c r="AH328" s="148"/>
      <c r="AI328" s="148" t="s">
        <v>614</v>
      </c>
      <c r="AJ328" s="148" t="s">
        <v>614</v>
      </c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</row>
    <row r="329" ht="14.25" customHeight="1">
      <c r="A329" s="179"/>
      <c r="B329" s="180"/>
      <c r="C329" s="181"/>
      <c r="D329" s="179"/>
      <c r="E329" s="215"/>
      <c r="F329" s="182"/>
      <c r="G329" s="180"/>
      <c r="H329" s="180"/>
      <c r="I329" s="180"/>
      <c r="J329" s="180"/>
      <c r="K329" s="183"/>
      <c r="L329" s="184"/>
      <c r="M329" s="185"/>
      <c r="N329" s="180"/>
      <c r="O329" s="69">
        <f t="shared" si="34"/>
        <v>0</v>
      </c>
      <c r="P329" s="186"/>
      <c r="Q329" s="179"/>
      <c r="R329" s="180"/>
      <c r="S329" s="187"/>
      <c r="T329" s="146">
        <f t="shared" si="10"/>
        <v>0</v>
      </c>
      <c r="U329" s="146"/>
      <c r="V329" s="188"/>
      <c r="W329" s="180"/>
      <c r="X329" s="180"/>
      <c r="Y329" s="180"/>
      <c r="Z329" s="148" t="str">
        <f>IFERROR(__xludf.DUMMYFUNCTION("""COMPUTED_VALUE"""),"")</f>
        <v/>
      </c>
      <c r="AA329" s="148" t="str">
        <f>IFERROR(__xludf.DUMMYFUNCTION("""COMPUTED_VALUE"""),"")</f>
        <v/>
      </c>
      <c r="AB329" s="148" t="str">
        <f>IFERROR(__xludf.DUMMYFUNCTION("""COMPUTED_VALUE"""),"")</f>
        <v/>
      </c>
      <c r="AC329" s="149"/>
      <c r="AD329" s="148"/>
      <c r="AE329" s="148"/>
      <c r="AF329" s="148" t="s">
        <v>613</v>
      </c>
      <c r="AG329" s="148"/>
      <c r="AH329" s="148"/>
      <c r="AI329" s="148" t="s">
        <v>614</v>
      </c>
      <c r="AJ329" s="148" t="s">
        <v>614</v>
      </c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</row>
    <row r="330" ht="14.25" customHeight="1">
      <c r="A330" s="179"/>
      <c r="B330" s="180"/>
      <c r="C330" s="181"/>
      <c r="D330" s="179"/>
      <c r="E330" s="215"/>
      <c r="F330" s="182"/>
      <c r="G330" s="180"/>
      <c r="H330" s="180"/>
      <c r="I330" s="180"/>
      <c r="J330" s="180"/>
      <c r="K330" s="183"/>
      <c r="L330" s="184"/>
      <c r="M330" s="185"/>
      <c r="N330" s="180"/>
      <c r="O330" s="69">
        <f t="shared" si="34"/>
        <v>0</v>
      </c>
      <c r="P330" s="186"/>
      <c r="Q330" s="179"/>
      <c r="R330" s="180"/>
      <c r="S330" s="187"/>
      <c r="T330" s="146">
        <f t="shared" si="10"/>
        <v>0</v>
      </c>
      <c r="U330" s="146"/>
      <c r="V330" s="188"/>
      <c r="W330" s="180"/>
      <c r="X330" s="180"/>
      <c r="Y330" s="180"/>
      <c r="Z330" s="148" t="str">
        <f>IFERROR(__xludf.DUMMYFUNCTION("""COMPUTED_VALUE"""),"")</f>
        <v/>
      </c>
      <c r="AA330" s="148" t="str">
        <f>IFERROR(__xludf.DUMMYFUNCTION("""COMPUTED_VALUE"""),"")</f>
        <v/>
      </c>
      <c r="AB330" s="148" t="str">
        <f>IFERROR(__xludf.DUMMYFUNCTION("""COMPUTED_VALUE"""),"")</f>
        <v/>
      </c>
      <c r="AC330" s="149"/>
      <c r="AD330" s="148"/>
      <c r="AE330" s="148"/>
      <c r="AF330" s="148" t="s">
        <v>613</v>
      </c>
      <c r="AG330" s="148"/>
      <c r="AH330" s="148"/>
      <c r="AI330" s="148" t="s">
        <v>614</v>
      </c>
      <c r="AJ330" s="148" t="s">
        <v>614</v>
      </c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</row>
    <row r="331" ht="14.25" customHeight="1">
      <c r="A331" s="179"/>
      <c r="B331" s="180"/>
      <c r="C331" s="181"/>
      <c r="D331" s="179"/>
      <c r="E331" s="215"/>
      <c r="F331" s="182"/>
      <c r="G331" s="180"/>
      <c r="H331" s="180"/>
      <c r="I331" s="180"/>
      <c r="J331" s="180"/>
      <c r="K331" s="183"/>
      <c r="L331" s="184"/>
      <c r="M331" s="185"/>
      <c r="N331" s="180"/>
      <c r="O331" s="69">
        <f t="shared" si="34"/>
        <v>0</v>
      </c>
      <c r="P331" s="186"/>
      <c r="Q331" s="179"/>
      <c r="R331" s="180"/>
      <c r="S331" s="187"/>
      <c r="T331" s="146">
        <f t="shared" si="10"/>
        <v>0</v>
      </c>
      <c r="U331" s="146"/>
      <c r="V331" s="188"/>
      <c r="W331" s="180"/>
      <c r="X331" s="180"/>
      <c r="Y331" s="180"/>
      <c r="Z331" s="148" t="str">
        <f>IFERROR(__xludf.DUMMYFUNCTION("""COMPUTED_VALUE"""),"")</f>
        <v/>
      </c>
      <c r="AA331" s="148" t="str">
        <f>IFERROR(__xludf.DUMMYFUNCTION("""COMPUTED_VALUE"""),"")</f>
        <v/>
      </c>
      <c r="AB331" s="148" t="str">
        <f>IFERROR(__xludf.DUMMYFUNCTION("""COMPUTED_VALUE"""),"")</f>
        <v/>
      </c>
      <c r="AC331" s="149"/>
      <c r="AD331" s="148"/>
      <c r="AE331" s="148"/>
      <c r="AF331" s="148" t="s">
        <v>613</v>
      </c>
      <c r="AG331" s="148"/>
      <c r="AH331" s="148"/>
      <c r="AI331" s="148" t="s">
        <v>614</v>
      </c>
      <c r="AJ331" s="148" t="s">
        <v>614</v>
      </c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</row>
    <row r="332" ht="18.75" customHeight="1">
      <c r="A332" s="48"/>
      <c r="B332" s="49"/>
      <c r="C332" s="50"/>
      <c r="D332" s="128"/>
      <c r="E332" s="128"/>
      <c r="F332" s="52"/>
      <c r="G332" s="48" t="s">
        <v>142</v>
      </c>
      <c r="H332" s="53"/>
      <c r="I332" s="203">
        <f>SUM(I103:I331)</f>
        <v>68</v>
      </c>
      <c r="J332" s="53"/>
      <c r="K332" s="48"/>
      <c r="L332" s="53"/>
      <c r="M332" s="53"/>
      <c r="N332" s="53"/>
      <c r="O332" s="53"/>
      <c r="P332" s="50"/>
      <c r="Q332" s="53"/>
      <c r="R332" s="53"/>
      <c r="S332" s="54"/>
      <c r="T332" s="54"/>
      <c r="U332" s="146"/>
      <c r="V332" s="50"/>
      <c r="W332" s="50"/>
      <c r="X332" s="50"/>
      <c r="Y332" s="50"/>
      <c r="Z332" s="55" t="str">
        <f>IFERROR(__xludf.DUMMYFUNCTION("""COMPUTED_VALUE"""),"")</f>
        <v/>
      </c>
      <c r="AA332" s="55" t="str">
        <f>IFERROR(__xludf.DUMMYFUNCTION("""COMPUTED_VALUE"""),"")</f>
        <v/>
      </c>
      <c r="AB332" s="55" t="str">
        <f>IFERROR(__xludf.DUMMYFUNCTION("""COMPUTED_VALUE"""),"")</f>
        <v/>
      </c>
      <c r="AC332" s="55"/>
      <c r="AD332" s="55"/>
      <c r="AE332" s="55"/>
      <c r="AF332" s="7" t="s">
        <v>613</v>
      </c>
      <c r="AG332" s="7"/>
      <c r="AH332" s="7" t="s">
        <v>142</v>
      </c>
      <c r="AI332" s="7" t="s">
        <v>614</v>
      </c>
      <c r="AJ332" s="7" t="s">
        <v>614</v>
      </c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</sheetData>
  <mergeCells count="1">
    <mergeCell ref="A1:O1"/>
  </mergeCells>
  <dataValidations>
    <dataValidation type="list" allowBlank="1" sqref="A103:A111">
      <formula1>$H$4:$H$7</formula1>
    </dataValidation>
    <dataValidation type="list" allowBlank="1" showErrorMessage="1" sqref="P103:P228">
      <formula1>"ADM,ADM 2,CH1-Khách,CH1-SR,MH,Ba Sao"</formula1>
    </dataValidation>
    <dataValidation type="list" allowBlank="1" showErrorMessage="1" sqref="V12:V99 V103:V331">
      <formula1>QUYUOC!$D$2:$D$6</formula1>
    </dataValidation>
    <dataValidation type="list" allowBlank="1" showErrorMessage="1" sqref="P229:P331">
      <formula1>QUYUOC!$J$2:$J$12</formula1>
    </dataValidation>
    <dataValidation type="list" allowBlank="1" showErrorMessage="1" sqref="Q103:Q332">
      <formula1>QUYUOC!$N$2:$N$16</formula1>
    </dataValidation>
    <dataValidation type="list" allowBlank="1" sqref="A12:A20">
      <formula1>$H$4:$H$9</formula1>
    </dataValidation>
    <dataValidation type="list" allowBlank="1" sqref="A21:A99 A112:A331">
      <formula1>QUYUOC!$G$2:$G$10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1" max="1" width="9.25"/>
    <col customWidth="1" min="2" max="2" width="14.75"/>
    <col customWidth="1" min="3" max="3" width="13.63"/>
    <col customWidth="1" min="4" max="4" width="11.5"/>
    <col customWidth="1" min="5" max="6" width="10.13"/>
    <col customWidth="1" min="7" max="7" width="46.88"/>
    <col customWidth="1" min="8" max="9" width="9.88"/>
    <col customWidth="1" min="10" max="10" width="12.13"/>
    <col customWidth="1" min="11" max="11" width="10.0"/>
    <col customWidth="1" min="12" max="12" width="18.25"/>
    <col customWidth="1" min="13" max="13" width="7.63"/>
    <col customWidth="1" min="14" max="14" width="7.75"/>
    <col customWidth="1" min="15" max="15" width="8.38"/>
    <col customWidth="1" min="16" max="16" width="30.13"/>
    <col customWidth="1" min="17" max="17" width="18.13"/>
    <col customWidth="1" min="18" max="18" width="19.5"/>
    <col customWidth="1" hidden="1" min="19" max="19" width="10.75"/>
    <col customWidth="1" min="20" max="20" width="10.75"/>
    <col customWidth="1" min="21" max="21" width="11.75"/>
    <col customWidth="1" min="22" max="22" width="12.13"/>
    <col customWidth="1" min="23" max="23" width="19.75"/>
    <col customWidth="1" min="24" max="24" width="16.38"/>
    <col customWidth="1" min="25" max="25" width="30.5"/>
    <col customWidth="1" min="26" max="27" width="18.5"/>
    <col customWidth="1" min="28" max="28" width="4.38"/>
    <col customWidth="1" min="29" max="30" width="9.38"/>
    <col customWidth="1" min="31" max="31" width="8.0"/>
    <col customWidth="1" min="32" max="32" width="8.13"/>
    <col customWidth="1" min="33" max="34" width="20.5"/>
    <col customWidth="1" min="35" max="35" width="65.5"/>
    <col customWidth="1" min="36" max="36" width="20.5"/>
    <col customWidth="1" min="37" max="47" width="8.0"/>
  </cols>
  <sheetData>
    <row r="1" ht="48.75" customHeight="1">
      <c r="A1" s="1" t="s">
        <v>769</v>
      </c>
      <c r="P1" s="2"/>
      <c r="Q1" s="3"/>
      <c r="R1" s="4"/>
      <c r="S1" s="5"/>
      <c r="T1" s="5"/>
      <c r="U1" s="5"/>
      <c r="V1" s="6"/>
      <c r="W1" s="4"/>
      <c r="X1" s="4"/>
      <c r="Y1" s="4"/>
      <c r="Z1" s="2" t="s">
        <v>1</v>
      </c>
      <c r="AA1" s="4"/>
      <c r="AB1" s="4"/>
      <c r="AC1" s="4"/>
      <c r="AD1" s="4"/>
      <c r="AE1" s="4"/>
      <c r="AF1" s="4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ht="30.0" hidden="1" customHeight="1">
      <c r="A2" s="8"/>
      <c r="B2" s="9"/>
      <c r="C2" s="9"/>
      <c r="D2" s="10"/>
      <c r="E2" s="11"/>
      <c r="F2" s="11"/>
      <c r="G2" s="12"/>
      <c r="H2" s="12"/>
      <c r="I2" s="13" t="s">
        <v>2</v>
      </c>
      <c r="J2" s="13" t="s">
        <v>3</v>
      </c>
      <c r="K2" s="14" t="s">
        <v>4</v>
      </c>
      <c r="L2" s="13" t="s">
        <v>5</v>
      </c>
      <c r="M2" s="13" t="s">
        <v>6</v>
      </c>
      <c r="N2" s="13" t="s">
        <v>7</v>
      </c>
      <c r="O2" s="13" t="s">
        <v>8</v>
      </c>
      <c r="P2" s="12"/>
      <c r="Q2" s="15"/>
      <c r="R2" s="15"/>
      <c r="S2" s="16"/>
      <c r="T2" s="16"/>
      <c r="U2" s="16"/>
      <c r="V2" s="17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3" ht="19.5" hidden="1" customHeight="1">
      <c r="A3" s="18"/>
      <c r="B3" s="19"/>
      <c r="C3" s="19"/>
      <c r="D3" s="20"/>
      <c r="E3" s="21"/>
      <c r="F3" s="22"/>
      <c r="G3" s="23" t="s">
        <v>9</v>
      </c>
      <c r="H3" s="24"/>
      <c r="I3" s="25">
        <f>SUM(I12:I298)-I73</f>
        <v>205</v>
      </c>
      <c r="J3" s="26">
        <f>SUM(J12:J298)</f>
        <v>1365.29</v>
      </c>
      <c r="K3" s="27"/>
      <c r="L3" s="27"/>
      <c r="M3" s="27"/>
      <c r="N3" s="26">
        <f t="shared" ref="N3:O3" si="1">SUM(N56:N298)</f>
        <v>35.76</v>
      </c>
      <c r="O3" s="26">
        <f t="shared" si="1"/>
        <v>1194.218</v>
      </c>
      <c r="P3" s="12"/>
      <c r="Q3" s="15"/>
      <c r="R3" s="15"/>
      <c r="S3" s="16"/>
      <c r="T3" s="16"/>
      <c r="U3" s="16"/>
      <c r="V3" s="17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ht="19.5" hidden="1" customHeight="1">
      <c r="A4" s="18"/>
      <c r="B4" s="28"/>
      <c r="C4" s="29"/>
      <c r="D4" s="20"/>
      <c r="E4" s="21"/>
      <c r="F4" s="22"/>
      <c r="G4" s="30" t="s">
        <v>10</v>
      </c>
      <c r="H4" s="31">
        <v>214.0</v>
      </c>
      <c r="I4" s="32">
        <f t="shared" ref="I4:J4" si="2">SUMIF($A$12:$O$299,$H4,I$12:I$299)</f>
        <v>22</v>
      </c>
      <c r="J4" s="33">
        <f t="shared" si="2"/>
        <v>121.79</v>
      </c>
      <c r="K4" s="34"/>
      <c r="L4" s="34"/>
      <c r="M4" s="34"/>
      <c r="N4" s="33">
        <f t="shared" ref="N4:O4" si="3">SUMIF($A$56:$O$298,$H4,N$56:N$298)</f>
        <v>0</v>
      </c>
      <c r="O4" s="33">
        <f t="shared" si="3"/>
        <v>0</v>
      </c>
      <c r="P4" s="12"/>
      <c r="Q4" s="15"/>
      <c r="R4" s="15"/>
      <c r="S4" s="16"/>
      <c r="T4" s="16"/>
      <c r="U4" s="16"/>
      <c r="V4" s="17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ht="20.25" hidden="1" customHeight="1">
      <c r="A5" s="18"/>
      <c r="B5" s="28"/>
      <c r="C5" s="29"/>
      <c r="D5" s="20"/>
      <c r="E5" s="21"/>
      <c r="F5" s="22"/>
      <c r="G5" s="30" t="s">
        <v>11</v>
      </c>
      <c r="H5" s="31">
        <v>359.0</v>
      </c>
      <c r="I5" s="32">
        <f t="shared" ref="I5:J5" si="4">SUMIF($A$12:$O$299,$H5,I$12:I$299)</f>
        <v>7</v>
      </c>
      <c r="J5" s="33">
        <f t="shared" si="4"/>
        <v>42.13</v>
      </c>
      <c r="K5" s="34"/>
      <c r="L5" s="34"/>
      <c r="M5" s="34"/>
      <c r="N5" s="33">
        <f t="shared" ref="N5:O5" si="5">SUMIF($A$56:$O$298,$H5,N$56:N$298)</f>
        <v>0</v>
      </c>
      <c r="O5" s="33">
        <f t="shared" si="5"/>
        <v>0</v>
      </c>
      <c r="P5" s="12"/>
      <c r="Q5" s="15"/>
      <c r="R5" s="15"/>
      <c r="S5" s="16"/>
      <c r="T5" s="16"/>
      <c r="U5" s="16"/>
      <c r="V5" s="17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</row>
    <row r="6" ht="23.25" hidden="1" customHeight="1">
      <c r="A6" s="35"/>
      <c r="B6" s="35"/>
      <c r="C6" s="35"/>
      <c r="D6" s="36"/>
      <c r="E6" s="37"/>
      <c r="F6" s="37"/>
      <c r="G6" s="30" t="s">
        <v>12</v>
      </c>
      <c r="H6" s="31" t="s">
        <v>13</v>
      </c>
      <c r="I6" s="32">
        <f t="shared" ref="I6:J6" si="6">SUMIF($A$12:$O$299,$H6,I$12:I$299)</f>
        <v>176</v>
      </c>
      <c r="J6" s="33">
        <f t="shared" si="6"/>
        <v>1201.37</v>
      </c>
      <c r="K6" s="34"/>
      <c r="L6" s="34"/>
      <c r="M6" s="34"/>
      <c r="N6" s="33">
        <f t="shared" ref="N6:O6" si="7">SUMIF($A$56:$O$298,$H6,N$56:N$298)</f>
        <v>35.76</v>
      </c>
      <c r="O6" s="33">
        <f t="shared" si="7"/>
        <v>1194.218</v>
      </c>
      <c r="P6" s="35"/>
      <c r="Q6" s="35"/>
      <c r="R6" s="35"/>
      <c r="S6" s="38"/>
      <c r="T6" s="38"/>
      <c r="U6" s="38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</row>
    <row r="7" ht="19.5" hidden="1" customHeight="1">
      <c r="A7" s="35"/>
      <c r="B7" s="35"/>
      <c r="C7" s="35"/>
      <c r="D7" s="36"/>
      <c r="E7" s="37"/>
      <c r="F7" s="40"/>
      <c r="G7" s="41" t="s">
        <v>14</v>
      </c>
      <c r="H7" s="42" t="s">
        <v>15</v>
      </c>
      <c r="I7" s="32">
        <f t="shared" ref="I7:J7" si="8">SUMIF($A$12:$O$299,$H7,I$12:I$299)</f>
        <v>0</v>
      </c>
      <c r="J7" s="33">
        <f t="shared" si="8"/>
        <v>0</v>
      </c>
      <c r="K7" s="34"/>
      <c r="L7" s="34"/>
      <c r="M7" s="34"/>
      <c r="N7" s="33">
        <f t="shared" ref="N7:O7" si="9">SUMIF($A$56:$O$298,$H7,N$56:N$298)</f>
        <v>0</v>
      </c>
      <c r="O7" s="33">
        <f t="shared" si="9"/>
        <v>0</v>
      </c>
      <c r="P7" s="35"/>
      <c r="Q7" s="35"/>
      <c r="R7" s="35"/>
      <c r="S7" s="38"/>
      <c r="T7" s="38"/>
      <c r="U7" s="38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</row>
    <row r="8" ht="17.25" hidden="1" customHeight="1">
      <c r="A8" s="35"/>
      <c r="B8" s="35"/>
      <c r="C8" s="35"/>
      <c r="D8" s="36"/>
      <c r="E8" s="37"/>
      <c r="F8" s="40"/>
      <c r="G8" s="30"/>
      <c r="H8" s="31"/>
      <c r="I8" s="32"/>
      <c r="J8" s="33"/>
      <c r="K8" s="34"/>
      <c r="L8" s="34"/>
      <c r="M8" s="34"/>
      <c r="N8" s="33"/>
      <c r="O8" s="33"/>
      <c r="P8" s="35"/>
      <c r="Q8" s="35"/>
      <c r="R8" s="35"/>
      <c r="S8" s="38"/>
      <c r="T8" s="38"/>
      <c r="U8" s="38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</row>
    <row r="9" ht="19.5" hidden="1" customHeight="1">
      <c r="A9" s="35"/>
      <c r="B9" s="35"/>
      <c r="C9" s="35"/>
      <c r="D9" s="36"/>
      <c r="E9" s="37"/>
      <c r="F9" s="40"/>
      <c r="G9" s="41"/>
      <c r="H9" s="42"/>
      <c r="I9" s="32"/>
      <c r="J9" s="33"/>
      <c r="K9" s="34"/>
      <c r="L9" s="34"/>
      <c r="M9" s="34"/>
      <c r="N9" s="33"/>
      <c r="O9" s="33"/>
      <c r="P9" s="35"/>
      <c r="Q9" s="35"/>
      <c r="R9" s="35"/>
      <c r="S9" s="38"/>
      <c r="T9" s="38"/>
      <c r="U9" s="38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</row>
    <row r="10" hidden="1">
      <c r="A10" s="43"/>
      <c r="B10" s="43"/>
      <c r="C10" s="43"/>
      <c r="D10" s="44"/>
      <c r="E10" s="45"/>
      <c r="F10" s="45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6"/>
      <c r="W10" s="43"/>
      <c r="X10" s="43"/>
      <c r="Y10" s="43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</row>
    <row r="11" ht="48.75" customHeight="1">
      <c r="A11" s="48" t="s">
        <v>16</v>
      </c>
      <c r="B11" s="49" t="s">
        <v>17</v>
      </c>
      <c r="C11" s="50" t="s">
        <v>18</v>
      </c>
      <c r="D11" s="50" t="s">
        <v>19</v>
      </c>
      <c r="E11" s="51" t="s">
        <v>20</v>
      </c>
      <c r="F11" s="52" t="s">
        <v>21</v>
      </c>
      <c r="G11" s="48" t="s">
        <v>22</v>
      </c>
      <c r="H11" s="53" t="s">
        <v>23</v>
      </c>
      <c r="I11" s="53" t="s">
        <v>24</v>
      </c>
      <c r="J11" s="53" t="s">
        <v>3</v>
      </c>
      <c r="K11" s="48" t="s">
        <v>4</v>
      </c>
      <c r="L11" s="53" t="s">
        <v>5</v>
      </c>
      <c r="M11" s="53" t="s">
        <v>6</v>
      </c>
      <c r="N11" s="53" t="s">
        <v>7</v>
      </c>
      <c r="O11" s="53" t="s">
        <v>8</v>
      </c>
      <c r="P11" s="50" t="s">
        <v>25</v>
      </c>
      <c r="Q11" s="53" t="s">
        <v>26</v>
      </c>
      <c r="R11" s="53" t="s">
        <v>27</v>
      </c>
      <c r="S11" s="54"/>
      <c r="T11" s="54"/>
      <c r="U11" s="54"/>
      <c r="V11" s="50" t="s">
        <v>28</v>
      </c>
      <c r="W11" s="50" t="s">
        <v>29</v>
      </c>
      <c r="X11" s="50" t="s">
        <v>30</v>
      </c>
      <c r="Y11" s="50" t="s">
        <v>31</v>
      </c>
      <c r="Z11" s="55" t="str">
        <f>IFERROR(__xludf.DUMMYFUNCTION("LET(
  srcG, IMPORTRANGE(
    ""1zxEUXpXv19nxjBgmlH-lwo49Xf9PXrkBYj6xlVgXk0M"",
    ""SPNK (QLSP.T10-2026)!$G$5:$G""
  ),
  srcI, IMPORTRANGE(
    ""1zxEUXpXv19nxjBgmlH-lwo49Xf9PXrkBYj6xlVgXk0M"",
    ""SPNK (QLSP.T10-2026)!$I$5:$I""
  ),
  srcP, IMPORTRA"&amp;"NGE(
    ""1zxEUXpXv19nxjBgmlH-lwo49Xf9PXrkBYj6xlVgXk0M"",
    ""SPNK (QLSP.T10-2026)!$P$5:$P""
  ),
  srcM, IMPORTRANGE(
    ""1zxEUXpXv19nxjBgmlH-lwo49Xf9PXrkBYj6xlVgXk0M"",
    ""SPNK (QLSP.T10-2026)!$M$5:$M""
  ),
  BYROW(
    F11:F299,
    LAMBDA(f,
"&amp;"      LET(
        l, INDEX(L11:L299, ROW(f)-ROW(F11)+1),
        IF(
          AND(f="""",l=""""),
          {"""","""",""""},
          IFNA(
            { INDEX(srcI, MATCH(f, srcG, 0)),
              INDEX(srcP, MATCH(f, srcG, 0)),
              INDEX"&amp;"(srcM, MATCH(f, srcG, 0)) },
            IFNA(
              { INDEX(srcI, MATCH(l, srcI, 0)),
                INDEX(srcP, MATCH(l, srcI, 0)),
                INDEX(srcM, MATCH(l, srcI, 0)) },
              {"""","""",""""}
            )
          )
     "&amp;"   )
      )
    )
  )
)"),"#REF!")</f>
        <v>#REF!</v>
      </c>
      <c r="AA11" s="55" t="str">
        <f>IFERROR(__xludf.DUMMYFUNCTION("""COMPUTED_VALUE"""),"#REF!")</f>
        <v>#REF!</v>
      </c>
      <c r="AB11" s="55" t="str">
        <f>IFERROR(__xludf.DUMMYFUNCTION("""COMPUTED_VALUE"""),"#REF!")</f>
        <v>#REF!</v>
      </c>
      <c r="AC11" s="55"/>
      <c r="AD11" s="55"/>
      <c r="AE11" s="55"/>
      <c r="AF11" s="55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ht="14.25" customHeight="1">
      <c r="A12" s="56">
        <v>359.0</v>
      </c>
      <c r="B12" s="57" t="s">
        <v>770</v>
      </c>
      <c r="C12" s="98">
        <v>46113.0</v>
      </c>
      <c r="D12" s="201">
        <v>204870.0</v>
      </c>
      <c r="E12" s="60">
        <v>26.10587</v>
      </c>
      <c r="F12" s="60">
        <v>26.36044</v>
      </c>
      <c r="G12" s="62" t="s">
        <v>771</v>
      </c>
      <c r="H12" s="63" t="s">
        <v>45</v>
      </c>
      <c r="I12" s="64">
        <v>1.0</v>
      </c>
      <c r="J12" s="79">
        <v>5.07</v>
      </c>
      <c r="K12" s="80" t="s">
        <v>57</v>
      </c>
      <c r="L12" s="66" t="s">
        <v>772</v>
      </c>
      <c r="M12" s="67">
        <v>0.0</v>
      </c>
      <c r="N12" s="72">
        <v>0.0</v>
      </c>
      <c r="O12" s="69">
        <v>5.07</v>
      </c>
      <c r="P12" s="70" t="s">
        <v>773</v>
      </c>
      <c r="Q12" s="72"/>
      <c r="R12" s="72"/>
      <c r="S12" s="71"/>
      <c r="T12" s="73"/>
      <c r="U12" s="73"/>
      <c r="V12" s="74" t="s">
        <v>38</v>
      </c>
      <c r="W12" s="74" t="b">
        <v>0</v>
      </c>
      <c r="X12" s="74" t="b">
        <v>0</v>
      </c>
      <c r="Y12" s="74" t="b">
        <v>1</v>
      </c>
      <c r="Z12" s="75" t="str">
        <f>IFERROR(__xludf.DUMMYFUNCTION("""COMPUTED_VALUE"""),"#REF!")</f>
        <v>#REF!</v>
      </c>
      <c r="AA12" s="75" t="str">
        <f>IFERROR(__xludf.DUMMYFUNCTION("""COMPUTED_VALUE"""),"#REF!")</f>
        <v>#REF!</v>
      </c>
      <c r="AB12" s="76" t="str">
        <f>IFERROR(__xludf.DUMMYFUNCTION("""COMPUTED_VALUE"""),"#REF!")</f>
        <v>#REF!</v>
      </c>
      <c r="AC12" s="75"/>
      <c r="AD12" s="75"/>
      <c r="AE12" s="55"/>
      <c r="AF12" s="55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ht="14.25" customHeight="1">
      <c r="A13" s="56">
        <v>214.0</v>
      </c>
      <c r="B13" s="57" t="s">
        <v>774</v>
      </c>
      <c r="C13" s="77">
        <v>46128.0</v>
      </c>
      <c r="D13" s="216">
        <v>118292.0</v>
      </c>
      <c r="E13" s="159">
        <v>26.1062</v>
      </c>
      <c r="F13" s="60">
        <v>26.36101</v>
      </c>
      <c r="G13" s="62" t="s">
        <v>775</v>
      </c>
      <c r="H13" s="63" t="s">
        <v>56</v>
      </c>
      <c r="I13" s="84">
        <v>1.0</v>
      </c>
      <c r="J13" s="85">
        <v>18.7</v>
      </c>
      <c r="K13" s="80" t="s">
        <v>57</v>
      </c>
      <c r="L13" s="66" t="s">
        <v>776</v>
      </c>
      <c r="M13" s="86">
        <v>0.0</v>
      </c>
      <c r="N13" s="72">
        <v>0.0</v>
      </c>
      <c r="O13" s="87">
        <v>18.7</v>
      </c>
      <c r="P13" s="70" t="s">
        <v>59</v>
      </c>
      <c r="Q13" s="71"/>
      <c r="R13" s="83"/>
      <c r="S13" s="71"/>
      <c r="T13" s="73"/>
      <c r="U13" s="73"/>
      <c r="V13" s="74" t="s">
        <v>38</v>
      </c>
      <c r="W13" s="74" t="b">
        <v>0</v>
      </c>
      <c r="X13" s="74" t="b">
        <v>0</v>
      </c>
      <c r="Y13" s="74" t="b">
        <v>1</v>
      </c>
      <c r="Z13" s="75" t="str">
        <f>IFERROR(__xludf.DUMMYFUNCTION("""COMPUTED_VALUE"""),"#REF!")</f>
        <v>#REF!</v>
      </c>
      <c r="AA13" s="75" t="str">
        <f>IFERROR(__xludf.DUMMYFUNCTION("""COMPUTED_VALUE"""),"#REF!")</f>
        <v>#REF!</v>
      </c>
      <c r="AB13" s="76" t="str">
        <f>IFERROR(__xludf.DUMMYFUNCTION("""COMPUTED_VALUE"""),"#REF!")</f>
        <v>#REF!</v>
      </c>
      <c r="AC13" s="75"/>
      <c r="AD13" s="75"/>
      <c r="AE13" s="55"/>
      <c r="AF13" s="55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ht="14.25" customHeight="1">
      <c r="A14" s="56">
        <v>359.0</v>
      </c>
      <c r="B14" s="57" t="s">
        <v>777</v>
      </c>
      <c r="C14" s="173">
        <v>46129.0</v>
      </c>
      <c r="D14" s="59">
        <v>204956.0</v>
      </c>
      <c r="E14" s="60" t="s">
        <v>778</v>
      </c>
      <c r="F14" s="60"/>
      <c r="G14" s="62" t="s">
        <v>779</v>
      </c>
      <c r="H14" s="91" t="s">
        <v>34</v>
      </c>
      <c r="I14" s="84">
        <v>1.0</v>
      </c>
      <c r="J14" s="91">
        <v>5.19</v>
      </c>
      <c r="K14" s="65" t="s">
        <v>160</v>
      </c>
      <c r="L14" s="211" t="s">
        <v>780</v>
      </c>
      <c r="M14" s="67"/>
      <c r="N14" s="68"/>
      <c r="O14" s="69">
        <f>J14-(N14*0.2)</f>
        <v>5.19</v>
      </c>
      <c r="P14" s="70" t="s">
        <v>781</v>
      </c>
      <c r="Q14" s="71"/>
      <c r="R14" s="72"/>
      <c r="S14" s="71"/>
      <c r="T14" s="73"/>
      <c r="U14" s="73"/>
      <c r="V14" s="74" t="s">
        <v>84</v>
      </c>
      <c r="W14" s="74" t="b">
        <v>0</v>
      </c>
      <c r="X14" s="74" t="b">
        <v>0</v>
      </c>
      <c r="Y14" s="74" t="b">
        <v>1</v>
      </c>
      <c r="Z14" s="75" t="str">
        <f>IFERROR(__xludf.DUMMYFUNCTION("""COMPUTED_VALUE"""),"#REF!")</f>
        <v>#REF!</v>
      </c>
      <c r="AA14" s="75" t="str">
        <f>IFERROR(__xludf.DUMMYFUNCTION("""COMPUTED_VALUE"""),"#REF!")</f>
        <v>#REF!</v>
      </c>
      <c r="AB14" s="76" t="str">
        <f>IFERROR(__xludf.DUMMYFUNCTION("""COMPUTED_VALUE"""),"#REF!")</f>
        <v>#REF!</v>
      </c>
      <c r="AC14" s="75"/>
      <c r="AD14" s="75"/>
      <c r="AE14" s="55"/>
      <c r="AF14" s="55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ht="14.25" customHeight="1">
      <c r="A15" s="56">
        <v>359.0</v>
      </c>
      <c r="B15" s="57" t="s">
        <v>782</v>
      </c>
      <c r="C15" s="77">
        <v>46134.0</v>
      </c>
      <c r="D15" s="216">
        <v>204953.0</v>
      </c>
      <c r="E15" s="60">
        <v>26.10661</v>
      </c>
      <c r="F15" s="159">
        <v>26.3634</v>
      </c>
      <c r="G15" s="62" t="s">
        <v>783</v>
      </c>
      <c r="H15" s="63" t="s">
        <v>34</v>
      </c>
      <c r="I15" s="84">
        <v>1.0</v>
      </c>
      <c r="J15" s="85">
        <v>1.65</v>
      </c>
      <c r="K15" s="80" t="s">
        <v>126</v>
      </c>
      <c r="L15" s="66" t="s">
        <v>784</v>
      </c>
      <c r="M15" s="86">
        <v>64.0</v>
      </c>
      <c r="N15" s="72">
        <v>0.28700000000000003</v>
      </c>
      <c r="O15" s="87">
        <v>1.5926</v>
      </c>
      <c r="P15" s="70" t="s">
        <v>785</v>
      </c>
      <c r="Q15" s="71"/>
      <c r="R15" s="72"/>
      <c r="S15" s="71"/>
      <c r="T15" s="73"/>
      <c r="U15" s="73"/>
      <c r="V15" s="74" t="s">
        <v>38</v>
      </c>
      <c r="W15" s="74" t="b">
        <v>1</v>
      </c>
      <c r="X15" s="74" t="b">
        <v>0</v>
      </c>
      <c r="Y15" s="74" t="b">
        <v>1</v>
      </c>
      <c r="Z15" s="75" t="str">
        <f>IFERROR(__xludf.DUMMYFUNCTION("""COMPUTED_VALUE"""),"#REF!")</f>
        <v>#REF!</v>
      </c>
      <c r="AA15" s="75" t="str">
        <f>IFERROR(__xludf.DUMMYFUNCTION("""COMPUTED_VALUE"""),"#REF!")</f>
        <v>#REF!</v>
      </c>
      <c r="AB15" s="76" t="str">
        <f>IFERROR(__xludf.DUMMYFUNCTION("""COMPUTED_VALUE"""),"#REF!")</f>
        <v>#REF!</v>
      </c>
      <c r="AC15" s="75"/>
      <c r="AD15" s="75"/>
      <c r="AE15" s="55"/>
      <c r="AF15" s="55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ht="14.25" customHeight="1">
      <c r="A16" s="56">
        <v>214.0</v>
      </c>
      <c r="B16" s="57" t="s">
        <v>786</v>
      </c>
      <c r="C16" s="77">
        <v>46134.0</v>
      </c>
      <c r="D16" s="216">
        <v>118290.0</v>
      </c>
      <c r="E16" s="60">
        <v>26.10679</v>
      </c>
      <c r="F16" s="60">
        <v>26.36366</v>
      </c>
      <c r="G16" s="62" t="s">
        <v>787</v>
      </c>
      <c r="H16" s="63" t="s">
        <v>45</v>
      </c>
      <c r="I16" s="84">
        <v>1.0</v>
      </c>
      <c r="J16" s="85">
        <v>4.78</v>
      </c>
      <c r="K16" s="80" t="s">
        <v>46</v>
      </c>
      <c r="L16" s="66" t="s">
        <v>788</v>
      </c>
      <c r="M16" s="86">
        <v>108.0</v>
      </c>
      <c r="N16" s="72">
        <v>0.7880000000000001</v>
      </c>
      <c r="O16" s="87">
        <v>4.6224</v>
      </c>
      <c r="P16" s="70" t="s">
        <v>789</v>
      </c>
      <c r="Q16" s="71"/>
      <c r="R16" s="83"/>
      <c r="S16" s="71"/>
      <c r="T16" s="73"/>
      <c r="U16" s="73"/>
      <c r="V16" s="74" t="s">
        <v>38</v>
      </c>
      <c r="W16" s="74" t="b">
        <v>1</v>
      </c>
      <c r="X16" s="74" t="b">
        <v>0</v>
      </c>
      <c r="Y16" s="74" t="b">
        <v>1</v>
      </c>
      <c r="Z16" s="75" t="str">
        <f>IFERROR(__xludf.DUMMYFUNCTION("""COMPUTED_VALUE"""),"#REF!")</f>
        <v>#REF!</v>
      </c>
      <c r="AA16" s="75" t="str">
        <f>IFERROR(__xludf.DUMMYFUNCTION("""COMPUTED_VALUE"""),"#REF!")</f>
        <v>#REF!</v>
      </c>
      <c r="AB16" s="76" t="str">
        <f>IFERROR(__xludf.DUMMYFUNCTION("""COMPUTED_VALUE"""),"#REF!")</f>
        <v>#REF!</v>
      </c>
      <c r="AC16" s="75"/>
      <c r="AD16" s="75"/>
      <c r="AE16" s="55"/>
      <c r="AF16" s="55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ht="14.25" customHeight="1">
      <c r="A17" s="56">
        <v>214.0</v>
      </c>
      <c r="B17" s="89" t="s">
        <v>790</v>
      </c>
      <c r="C17" s="173">
        <v>46136.0</v>
      </c>
      <c r="D17" s="217">
        <v>116654.0</v>
      </c>
      <c r="E17" s="60"/>
      <c r="F17" s="60"/>
      <c r="G17" s="90" t="s">
        <v>791</v>
      </c>
      <c r="H17" s="63" t="s">
        <v>45</v>
      </c>
      <c r="I17" s="84">
        <v>1.0</v>
      </c>
      <c r="J17" s="79">
        <v>8.69</v>
      </c>
      <c r="K17" s="80" t="s">
        <v>111</v>
      </c>
      <c r="L17" s="66"/>
      <c r="M17" s="86">
        <v>138.0</v>
      </c>
      <c r="N17" s="68">
        <v>1.61</v>
      </c>
      <c r="O17" s="69">
        <v>8.367999999999999</v>
      </c>
      <c r="P17" s="70" t="s">
        <v>53</v>
      </c>
      <c r="Q17" s="71"/>
      <c r="R17" s="83"/>
      <c r="S17" s="71"/>
      <c r="T17" s="73"/>
      <c r="U17" s="73"/>
      <c r="V17" s="74" t="s">
        <v>38</v>
      </c>
      <c r="W17" s="74" t="b">
        <v>0</v>
      </c>
      <c r="X17" s="74" t="b">
        <v>0</v>
      </c>
      <c r="Y17" s="74" t="b">
        <v>0</v>
      </c>
      <c r="Z17" s="75" t="str">
        <f>IFERROR(__xludf.DUMMYFUNCTION("""COMPUTED_VALUE"""),"")</f>
        <v/>
      </c>
      <c r="AA17" s="75" t="str">
        <f>IFERROR(__xludf.DUMMYFUNCTION("""COMPUTED_VALUE"""),"")</f>
        <v/>
      </c>
      <c r="AB17" s="76" t="str">
        <f>IFERROR(__xludf.DUMMYFUNCTION("""COMPUTED_VALUE"""),"")</f>
        <v/>
      </c>
      <c r="AC17" s="75"/>
      <c r="AD17" s="75"/>
      <c r="AE17" s="55"/>
      <c r="AF17" s="55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4.25" customHeight="1">
      <c r="A18" s="56">
        <v>214.0</v>
      </c>
      <c r="B18" s="89" t="s">
        <v>790</v>
      </c>
      <c r="C18" s="173">
        <v>46136.0</v>
      </c>
      <c r="D18" s="217" t="s">
        <v>792</v>
      </c>
      <c r="E18" s="60"/>
      <c r="F18" s="60"/>
      <c r="G18" s="90" t="s">
        <v>793</v>
      </c>
      <c r="H18" s="63" t="s">
        <v>45</v>
      </c>
      <c r="I18" s="84">
        <v>1.0</v>
      </c>
      <c r="J18" s="79">
        <v>2.0</v>
      </c>
      <c r="K18" s="65" t="s">
        <v>126</v>
      </c>
      <c r="L18" s="66"/>
      <c r="M18" s="86">
        <v>45.0</v>
      </c>
      <c r="N18" s="68">
        <v>0.469</v>
      </c>
      <c r="O18" s="69">
        <v>1.9062000000000001</v>
      </c>
      <c r="P18" s="70" t="s">
        <v>53</v>
      </c>
      <c r="Q18" s="71"/>
      <c r="R18" s="83"/>
      <c r="S18" s="71"/>
      <c r="T18" s="73"/>
      <c r="U18" s="73"/>
      <c r="V18" s="74" t="s">
        <v>38</v>
      </c>
      <c r="W18" s="74" t="b">
        <v>0</v>
      </c>
      <c r="X18" s="74" t="b">
        <v>0</v>
      </c>
      <c r="Y18" s="74" t="b">
        <v>0</v>
      </c>
      <c r="Z18" s="75" t="str">
        <f>IFERROR(__xludf.DUMMYFUNCTION("""COMPUTED_VALUE"""),"")</f>
        <v/>
      </c>
      <c r="AA18" s="75" t="str">
        <f>IFERROR(__xludf.DUMMYFUNCTION("""COMPUTED_VALUE"""),"")</f>
        <v/>
      </c>
      <c r="AB18" s="76" t="str">
        <f>IFERROR(__xludf.DUMMYFUNCTION("""COMPUTED_VALUE"""),"")</f>
        <v/>
      </c>
      <c r="AC18" s="75"/>
      <c r="AD18" s="75"/>
      <c r="AE18" s="55"/>
      <c r="AF18" s="55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ht="14.25" customHeight="1">
      <c r="A19" s="56">
        <v>214.0</v>
      </c>
      <c r="B19" s="89" t="s">
        <v>790</v>
      </c>
      <c r="C19" s="173">
        <v>46136.0</v>
      </c>
      <c r="D19" s="217" t="s">
        <v>794</v>
      </c>
      <c r="E19" s="60"/>
      <c r="F19" s="60"/>
      <c r="G19" s="90" t="s">
        <v>795</v>
      </c>
      <c r="H19" s="63" t="s">
        <v>45</v>
      </c>
      <c r="I19" s="84">
        <v>1.0</v>
      </c>
      <c r="J19" s="79">
        <v>2.17</v>
      </c>
      <c r="K19" s="65" t="s">
        <v>126</v>
      </c>
      <c r="L19" s="66"/>
      <c r="M19" s="86">
        <v>45.0</v>
      </c>
      <c r="N19" s="68">
        <v>0.469</v>
      </c>
      <c r="O19" s="69">
        <v>2.0762</v>
      </c>
      <c r="P19" s="70" t="s">
        <v>53</v>
      </c>
      <c r="Q19" s="71"/>
      <c r="R19" s="83"/>
      <c r="S19" s="71"/>
      <c r="T19" s="73"/>
      <c r="U19" s="73"/>
      <c r="V19" s="74" t="s">
        <v>38</v>
      </c>
      <c r="W19" s="74" t="b">
        <v>0</v>
      </c>
      <c r="X19" s="74" t="b">
        <v>0</v>
      </c>
      <c r="Y19" s="74" t="b">
        <v>0</v>
      </c>
      <c r="Z19" s="75" t="str">
        <f>IFERROR(__xludf.DUMMYFUNCTION("""COMPUTED_VALUE"""),"")</f>
        <v/>
      </c>
      <c r="AA19" s="75" t="str">
        <f>IFERROR(__xludf.DUMMYFUNCTION("""COMPUTED_VALUE"""),"")</f>
        <v/>
      </c>
      <c r="AB19" s="76" t="str">
        <f>IFERROR(__xludf.DUMMYFUNCTION("""COMPUTED_VALUE"""),"")</f>
        <v/>
      </c>
      <c r="AC19" s="75"/>
      <c r="AD19" s="75"/>
      <c r="AE19" s="55"/>
      <c r="AF19" s="55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ht="14.25" customHeight="1">
      <c r="A20" s="56">
        <v>214.0</v>
      </c>
      <c r="B20" s="89" t="s">
        <v>790</v>
      </c>
      <c r="C20" s="173">
        <v>46136.0</v>
      </c>
      <c r="D20" s="217" t="s">
        <v>796</v>
      </c>
      <c r="E20" s="60"/>
      <c r="F20" s="60"/>
      <c r="G20" s="90" t="s">
        <v>797</v>
      </c>
      <c r="H20" s="63" t="s">
        <v>45</v>
      </c>
      <c r="I20" s="84">
        <v>1.0</v>
      </c>
      <c r="J20" s="79">
        <v>1.7</v>
      </c>
      <c r="K20" s="80" t="s">
        <v>63</v>
      </c>
      <c r="L20" s="66"/>
      <c r="M20" s="86">
        <v>16.0</v>
      </c>
      <c r="N20" s="68">
        <v>0.192</v>
      </c>
      <c r="O20" s="69">
        <v>1.6616</v>
      </c>
      <c r="P20" s="70" t="s">
        <v>53</v>
      </c>
      <c r="Q20" s="71"/>
      <c r="R20" s="83"/>
      <c r="S20" s="71"/>
      <c r="T20" s="73"/>
      <c r="U20" s="73"/>
      <c r="V20" s="74" t="s">
        <v>38</v>
      </c>
      <c r="W20" s="74" t="b">
        <v>0</v>
      </c>
      <c r="X20" s="74" t="b">
        <v>0</v>
      </c>
      <c r="Y20" s="74" t="b">
        <v>0</v>
      </c>
      <c r="Z20" s="75" t="str">
        <f>IFERROR(__xludf.DUMMYFUNCTION("""COMPUTED_VALUE"""),"")</f>
        <v/>
      </c>
      <c r="AA20" s="75" t="str">
        <f>IFERROR(__xludf.DUMMYFUNCTION("""COMPUTED_VALUE"""),"")</f>
        <v/>
      </c>
      <c r="AB20" s="76" t="str">
        <f>IFERROR(__xludf.DUMMYFUNCTION("""COMPUTED_VALUE"""),"")</f>
        <v/>
      </c>
      <c r="AC20" s="75"/>
      <c r="AD20" s="75"/>
      <c r="AE20" s="55"/>
      <c r="AF20" s="55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4.25" customHeight="1">
      <c r="A21" s="56">
        <v>214.0</v>
      </c>
      <c r="B21" s="89" t="s">
        <v>790</v>
      </c>
      <c r="C21" s="173">
        <v>46136.0</v>
      </c>
      <c r="D21" s="217" t="s">
        <v>798</v>
      </c>
      <c r="E21" s="60"/>
      <c r="F21" s="60"/>
      <c r="G21" s="90" t="s">
        <v>799</v>
      </c>
      <c r="H21" s="63" t="s">
        <v>45</v>
      </c>
      <c r="I21" s="84">
        <v>1.0</v>
      </c>
      <c r="J21" s="85">
        <v>1.94</v>
      </c>
      <c r="K21" s="65" t="s">
        <v>126</v>
      </c>
      <c r="L21" s="66"/>
      <c r="M21" s="86">
        <v>45.0</v>
      </c>
      <c r="N21" s="72">
        <v>0.381</v>
      </c>
      <c r="O21" s="69">
        <v>1.86</v>
      </c>
      <c r="P21" s="70" t="s">
        <v>53</v>
      </c>
      <c r="Q21" s="71"/>
      <c r="R21" s="83"/>
      <c r="S21" s="71"/>
      <c r="T21" s="73"/>
      <c r="U21" s="73"/>
      <c r="V21" s="74" t="s">
        <v>38</v>
      </c>
      <c r="W21" s="74" t="b">
        <v>0</v>
      </c>
      <c r="X21" s="74" t="b">
        <v>0</v>
      </c>
      <c r="Y21" s="74" t="b">
        <v>0</v>
      </c>
      <c r="Z21" s="75" t="str">
        <f>IFERROR(__xludf.DUMMYFUNCTION("""COMPUTED_VALUE"""),"")</f>
        <v/>
      </c>
      <c r="AA21" s="75" t="str">
        <f>IFERROR(__xludf.DUMMYFUNCTION("""COMPUTED_VALUE"""),"")</f>
        <v/>
      </c>
      <c r="AB21" s="76" t="str">
        <f>IFERROR(__xludf.DUMMYFUNCTION("""COMPUTED_VALUE"""),"")</f>
        <v/>
      </c>
      <c r="AC21" s="75"/>
      <c r="AD21" s="75"/>
      <c r="AE21" s="55"/>
      <c r="AF21" s="55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ht="14.25" customHeight="1">
      <c r="A22" s="56">
        <v>214.0</v>
      </c>
      <c r="B22" s="89" t="s">
        <v>790</v>
      </c>
      <c r="C22" s="173">
        <v>46136.0</v>
      </c>
      <c r="D22" s="217" t="s">
        <v>800</v>
      </c>
      <c r="E22" s="60"/>
      <c r="F22" s="60"/>
      <c r="G22" s="90" t="s">
        <v>801</v>
      </c>
      <c r="H22" s="63" t="s">
        <v>45</v>
      </c>
      <c r="I22" s="84">
        <v>1.0</v>
      </c>
      <c r="J22" s="85">
        <v>1.92</v>
      </c>
      <c r="K22" s="65" t="s">
        <v>126</v>
      </c>
      <c r="L22" s="66"/>
      <c r="M22" s="86">
        <v>45.0</v>
      </c>
      <c r="N22" s="72">
        <v>0.381</v>
      </c>
      <c r="O22" s="69">
        <v>1.84</v>
      </c>
      <c r="P22" s="70" t="s">
        <v>53</v>
      </c>
      <c r="Q22" s="71"/>
      <c r="R22" s="83"/>
      <c r="S22" s="71"/>
      <c r="T22" s="73"/>
      <c r="U22" s="73"/>
      <c r="V22" s="74" t="s">
        <v>38</v>
      </c>
      <c r="W22" s="74" t="b">
        <v>0</v>
      </c>
      <c r="X22" s="74" t="b">
        <v>0</v>
      </c>
      <c r="Y22" s="74" t="b">
        <v>0</v>
      </c>
      <c r="Z22" s="75" t="str">
        <f>IFERROR(__xludf.DUMMYFUNCTION("""COMPUTED_VALUE"""),"")</f>
        <v/>
      </c>
      <c r="AA22" s="75" t="str">
        <f>IFERROR(__xludf.DUMMYFUNCTION("""COMPUTED_VALUE"""),"")</f>
        <v/>
      </c>
      <c r="AB22" s="76" t="str">
        <f>IFERROR(__xludf.DUMMYFUNCTION("""COMPUTED_VALUE"""),"")</f>
        <v/>
      </c>
      <c r="AC22" s="75"/>
      <c r="AD22" s="75"/>
      <c r="AE22" s="55"/>
      <c r="AF22" s="55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ht="14.25" customHeight="1">
      <c r="A23" s="56">
        <v>214.0</v>
      </c>
      <c r="B23" s="89" t="s">
        <v>790</v>
      </c>
      <c r="C23" s="173">
        <v>46136.0</v>
      </c>
      <c r="D23" s="217" t="s">
        <v>802</v>
      </c>
      <c r="E23" s="60"/>
      <c r="F23" s="60"/>
      <c r="G23" s="90" t="s">
        <v>803</v>
      </c>
      <c r="H23" s="63" t="s">
        <v>45</v>
      </c>
      <c r="I23" s="84">
        <v>1.0</v>
      </c>
      <c r="J23" s="85">
        <v>1.64</v>
      </c>
      <c r="K23" s="80" t="s">
        <v>63</v>
      </c>
      <c r="L23" s="66"/>
      <c r="M23" s="86">
        <v>16.0</v>
      </c>
      <c r="N23" s="72">
        <v>0.208</v>
      </c>
      <c r="O23" s="69">
        <v>1.5983999999999998</v>
      </c>
      <c r="P23" s="70" t="s">
        <v>53</v>
      </c>
      <c r="Q23" s="71"/>
      <c r="R23" s="83"/>
      <c r="S23" s="71"/>
      <c r="T23" s="73"/>
      <c r="U23" s="73"/>
      <c r="V23" s="74" t="s">
        <v>38</v>
      </c>
      <c r="W23" s="74" t="b">
        <v>0</v>
      </c>
      <c r="X23" s="74" t="b">
        <v>0</v>
      </c>
      <c r="Y23" s="74" t="b">
        <v>0</v>
      </c>
      <c r="Z23" s="75" t="str">
        <f>IFERROR(__xludf.DUMMYFUNCTION("""COMPUTED_VALUE"""),"")</f>
        <v/>
      </c>
      <c r="AA23" s="75" t="str">
        <f>IFERROR(__xludf.DUMMYFUNCTION("""COMPUTED_VALUE"""),"")</f>
        <v/>
      </c>
      <c r="AB23" s="76" t="str">
        <f>IFERROR(__xludf.DUMMYFUNCTION("""COMPUTED_VALUE"""),"")</f>
        <v/>
      </c>
      <c r="AC23" s="75"/>
      <c r="AD23" s="75"/>
      <c r="AE23" s="55"/>
      <c r="AF23" s="55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ht="14.25" customHeight="1">
      <c r="A24" s="56">
        <v>214.0</v>
      </c>
      <c r="B24" s="89" t="s">
        <v>790</v>
      </c>
      <c r="C24" s="173">
        <v>46136.0</v>
      </c>
      <c r="D24" s="217" t="s">
        <v>804</v>
      </c>
      <c r="E24" s="60"/>
      <c r="F24" s="60"/>
      <c r="G24" s="90" t="s">
        <v>805</v>
      </c>
      <c r="H24" s="63" t="s">
        <v>45</v>
      </c>
      <c r="I24" s="84">
        <v>1.0</v>
      </c>
      <c r="J24" s="85">
        <v>4.5</v>
      </c>
      <c r="K24" s="80" t="s">
        <v>87</v>
      </c>
      <c r="L24" s="66"/>
      <c r="M24" s="86">
        <v>52.0</v>
      </c>
      <c r="N24" s="72">
        <v>0.22</v>
      </c>
      <c r="O24" s="69">
        <v>4.456</v>
      </c>
      <c r="P24" s="70" t="s">
        <v>53</v>
      </c>
      <c r="Q24" s="71"/>
      <c r="R24" s="83"/>
      <c r="S24" s="71"/>
      <c r="T24" s="73"/>
      <c r="U24" s="73"/>
      <c r="V24" s="74" t="s">
        <v>38</v>
      </c>
      <c r="W24" s="74" t="b">
        <v>0</v>
      </c>
      <c r="X24" s="74" t="b">
        <v>0</v>
      </c>
      <c r="Y24" s="74" t="b">
        <v>0</v>
      </c>
      <c r="Z24" s="75" t="str">
        <f>IFERROR(__xludf.DUMMYFUNCTION("""COMPUTED_VALUE"""),"")</f>
        <v/>
      </c>
      <c r="AA24" s="75" t="str">
        <f>IFERROR(__xludf.DUMMYFUNCTION("""COMPUTED_VALUE"""),"")</f>
        <v/>
      </c>
      <c r="AB24" s="76" t="str">
        <f>IFERROR(__xludf.DUMMYFUNCTION("""COMPUTED_VALUE"""),"")</f>
        <v/>
      </c>
      <c r="AC24" s="75"/>
      <c r="AD24" s="75"/>
      <c r="AE24" s="55"/>
      <c r="AF24" s="55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ht="14.25" customHeight="1">
      <c r="A25" s="56">
        <v>214.0</v>
      </c>
      <c r="B25" s="89" t="s">
        <v>790</v>
      </c>
      <c r="C25" s="173">
        <v>46136.0</v>
      </c>
      <c r="D25" s="217" t="s">
        <v>806</v>
      </c>
      <c r="E25" s="60"/>
      <c r="F25" s="60"/>
      <c r="G25" s="90" t="s">
        <v>807</v>
      </c>
      <c r="H25" s="63" t="s">
        <v>45</v>
      </c>
      <c r="I25" s="84">
        <v>1.0</v>
      </c>
      <c r="J25" s="85">
        <v>4.55</v>
      </c>
      <c r="K25" s="80" t="s">
        <v>87</v>
      </c>
      <c r="L25" s="66"/>
      <c r="M25" s="86">
        <v>52.0</v>
      </c>
      <c r="N25" s="72">
        <v>0.22</v>
      </c>
      <c r="O25" s="69">
        <v>4.506</v>
      </c>
      <c r="P25" s="70" t="s">
        <v>53</v>
      </c>
      <c r="Q25" s="71"/>
      <c r="R25" s="83"/>
      <c r="S25" s="71"/>
      <c r="T25" s="73"/>
      <c r="U25" s="73"/>
      <c r="V25" s="74" t="s">
        <v>38</v>
      </c>
      <c r="W25" s="74" t="b">
        <v>0</v>
      </c>
      <c r="X25" s="74" t="b">
        <v>0</v>
      </c>
      <c r="Y25" s="74" t="b">
        <v>0</v>
      </c>
      <c r="Z25" s="75" t="str">
        <f>IFERROR(__xludf.DUMMYFUNCTION("""COMPUTED_VALUE"""),"")</f>
        <v/>
      </c>
      <c r="AA25" s="75" t="str">
        <f>IFERROR(__xludf.DUMMYFUNCTION("""COMPUTED_VALUE"""),"")</f>
        <v/>
      </c>
      <c r="AB25" s="76" t="str">
        <f>IFERROR(__xludf.DUMMYFUNCTION("""COMPUTED_VALUE"""),"")</f>
        <v/>
      </c>
      <c r="AC25" s="75"/>
      <c r="AD25" s="75"/>
      <c r="AE25" s="55"/>
      <c r="AF25" s="55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ht="14.25" customHeight="1">
      <c r="A26" s="56">
        <v>214.0</v>
      </c>
      <c r="B26" s="89" t="s">
        <v>790</v>
      </c>
      <c r="C26" s="173">
        <v>46136.0</v>
      </c>
      <c r="D26" s="217" t="s">
        <v>808</v>
      </c>
      <c r="E26" s="60"/>
      <c r="F26" s="60"/>
      <c r="G26" s="90" t="s">
        <v>809</v>
      </c>
      <c r="H26" s="63" t="s">
        <v>45</v>
      </c>
      <c r="I26" s="84">
        <v>1.0</v>
      </c>
      <c r="J26" s="85">
        <v>1.23</v>
      </c>
      <c r="K26" s="65" t="s">
        <v>126</v>
      </c>
      <c r="L26" s="66"/>
      <c r="M26" s="86">
        <v>40.0</v>
      </c>
      <c r="N26" s="72">
        <v>0.156</v>
      </c>
      <c r="O26" s="69">
        <v>1.1988</v>
      </c>
      <c r="P26" s="70" t="s">
        <v>53</v>
      </c>
      <c r="Q26" s="71"/>
      <c r="R26" s="83"/>
      <c r="S26" s="71"/>
      <c r="T26" s="73"/>
      <c r="U26" s="73"/>
      <c r="V26" s="74" t="s">
        <v>38</v>
      </c>
      <c r="W26" s="74" t="b">
        <v>0</v>
      </c>
      <c r="X26" s="74" t="b">
        <v>0</v>
      </c>
      <c r="Y26" s="74" t="b">
        <v>0</v>
      </c>
      <c r="Z26" s="75" t="str">
        <f>IFERROR(__xludf.DUMMYFUNCTION("""COMPUTED_VALUE"""),"")</f>
        <v/>
      </c>
      <c r="AA26" s="75" t="str">
        <f>IFERROR(__xludf.DUMMYFUNCTION("""COMPUTED_VALUE"""),"")</f>
        <v/>
      </c>
      <c r="AB26" s="76" t="str">
        <f>IFERROR(__xludf.DUMMYFUNCTION("""COMPUTED_VALUE"""),"")</f>
        <v/>
      </c>
      <c r="AC26" s="75"/>
      <c r="AD26" s="75"/>
      <c r="AE26" s="55"/>
      <c r="AF26" s="55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4.25" customHeight="1">
      <c r="A27" s="56">
        <v>214.0</v>
      </c>
      <c r="B27" s="89" t="s">
        <v>790</v>
      </c>
      <c r="C27" s="173">
        <v>46136.0</v>
      </c>
      <c r="D27" s="217" t="s">
        <v>810</v>
      </c>
      <c r="E27" s="60"/>
      <c r="F27" s="60"/>
      <c r="G27" s="90" t="s">
        <v>811</v>
      </c>
      <c r="H27" s="63" t="s">
        <v>45</v>
      </c>
      <c r="I27" s="84">
        <v>1.0</v>
      </c>
      <c r="J27" s="85">
        <v>1.25</v>
      </c>
      <c r="K27" s="65" t="s">
        <v>126</v>
      </c>
      <c r="L27" s="66"/>
      <c r="M27" s="86">
        <v>40.0</v>
      </c>
      <c r="N27" s="72">
        <v>0.156</v>
      </c>
      <c r="O27" s="69">
        <v>1.2188</v>
      </c>
      <c r="P27" s="70" t="s">
        <v>53</v>
      </c>
      <c r="Q27" s="71"/>
      <c r="R27" s="83"/>
      <c r="S27" s="71"/>
      <c r="T27" s="73"/>
      <c r="U27" s="73"/>
      <c r="V27" s="74" t="s">
        <v>38</v>
      </c>
      <c r="W27" s="74" t="b">
        <v>0</v>
      </c>
      <c r="X27" s="74" t="b">
        <v>0</v>
      </c>
      <c r="Y27" s="74" t="b">
        <v>0</v>
      </c>
      <c r="Z27" s="75" t="str">
        <f>IFERROR(__xludf.DUMMYFUNCTION("""COMPUTED_VALUE"""),"")</f>
        <v/>
      </c>
      <c r="AA27" s="75" t="str">
        <f>IFERROR(__xludf.DUMMYFUNCTION("""COMPUTED_VALUE"""),"")</f>
        <v/>
      </c>
      <c r="AB27" s="76" t="str">
        <f>IFERROR(__xludf.DUMMYFUNCTION("""COMPUTED_VALUE"""),"")</f>
        <v/>
      </c>
      <c r="AC27" s="75"/>
      <c r="AD27" s="75"/>
      <c r="AE27" s="55"/>
      <c r="AF27" s="55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4.25" customHeight="1">
      <c r="A28" s="56">
        <v>214.0</v>
      </c>
      <c r="B28" s="89" t="s">
        <v>790</v>
      </c>
      <c r="C28" s="173">
        <v>46136.0</v>
      </c>
      <c r="D28" s="217" t="s">
        <v>812</v>
      </c>
      <c r="E28" s="60"/>
      <c r="F28" s="60"/>
      <c r="G28" s="90" t="s">
        <v>813</v>
      </c>
      <c r="H28" s="63" t="s">
        <v>45</v>
      </c>
      <c r="I28" s="84">
        <v>1.0</v>
      </c>
      <c r="J28" s="85">
        <v>2.38</v>
      </c>
      <c r="K28" s="80" t="s">
        <v>63</v>
      </c>
      <c r="L28" s="66"/>
      <c r="M28" s="86">
        <v>58.0</v>
      </c>
      <c r="N28" s="72">
        <v>0.228</v>
      </c>
      <c r="O28" s="69">
        <v>2.3344</v>
      </c>
      <c r="P28" s="70" t="s">
        <v>53</v>
      </c>
      <c r="Q28" s="71"/>
      <c r="R28" s="83"/>
      <c r="S28" s="71"/>
      <c r="T28" s="73"/>
      <c r="U28" s="73"/>
      <c r="V28" s="74" t="s">
        <v>38</v>
      </c>
      <c r="W28" s="74" t="b">
        <v>0</v>
      </c>
      <c r="X28" s="74" t="b">
        <v>0</v>
      </c>
      <c r="Y28" s="74" t="b">
        <v>0</v>
      </c>
      <c r="Z28" s="75" t="str">
        <f>IFERROR(__xludf.DUMMYFUNCTION("""COMPUTED_VALUE"""),"")</f>
        <v/>
      </c>
      <c r="AA28" s="75" t="str">
        <f>IFERROR(__xludf.DUMMYFUNCTION("""COMPUTED_VALUE"""),"")</f>
        <v/>
      </c>
      <c r="AB28" s="76" t="str">
        <f>IFERROR(__xludf.DUMMYFUNCTION("""COMPUTED_VALUE"""),"")</f>
        <v/>
      </c>
      <c r="AC28" s="75"/>
      <c r="AD28" s="75"/>
      <c r="AE28" s="55"/>
      <c r="AF28" s="55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4.25" customHeight="1">
      <c r="A29" s="56">
        <v>214.0</v>
      </c>
      <c r="B29" s="57" t="s">
        <v>814</v>
      </c>
      <c r="C29" s="77">
        <v>46139.0</v>
      </c>
      <c r="D29" s="216">
        <v>118291.0</v>
      </c>
      <c r="E29" s="60">
        <v>26.1068</v>
      </c>
      <c r="F29" s="60">
        <v>26.36367</v>
      </c>
      <c r="G29" s="62" t="s">
        <v>815</v>
      </c>
      <c r="H29" s="63" t="s">
        <v>45</v>
      </c>
      <c r="I29" s="84">
        <v>1.0</v>
      </c>
      <c r="J29" s="85">
        <v>9.81</v>
      </c>
      <c r="K29" s="80" t="s">
        <v>87</v>
      </c>
      <c r="L29" s="66" t="s">
        <v>816</v>
      </c>
      <c r="M29" s="86">
        <v>36.0</v>
      </c>
      <c r="N29" s="72">
        <v>0.646</v>
      </c>
      <c r="O29" s="87">
        <v>9.6808</v>
      </c>
      <c r="P29" s="70" t="s">
        <v>65</v>
      </c>
      <c r="Q29" s="71"/>
      <c r="R29" s="83"/>
      <c r="S29" s="71"/>
      <c r="T29" s="73"/>
      <c r="U29" s="73"/>
      <c r="V29" s="74" t="s">
        <v>38</v>
      </c>
      <c r="W29" s="74" t="b">
        <v>1</v>
      </c>
      <c r="X29" s="74" t="b">
        <v>0</v>
      </c>
      <c r="Y29" s="74" t="b">
        <v>1</v>
      </c>
      <c r="Z29" s="75" t="str">
        <f>IFERROR(__xludf.DUMMYFUNCTION("""COMPUTED_VALUE"""),"#REF!")</f>
        <v>#REF!</v>
      </c>
      <c r="AA29" s="75" t="str">
        <f>IFERROR(__xludf.DUMMYFUNCTION("""COMPUTED_VALUE"""),"#REF!")</f>
        <v>#REF!</v>
      </c>
      <c r="AB29" s="76" t="str">
        <f>IFERROR(__xludf.DUMMYFUNCTION("""COMPUTED_VALUE"""),"#REF!")</f>
        <v>#REF!</v>
      </c>
      <c r="AC29" s="75"/>
      <c r="AD29" s="75"/>
      <c r="AE29" s="55"/>
      <c r="AF29" s="55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ht="14.25" customHeight="1">
      <c r="A30" s="56">
        <v>359.0</v>
      </c>
      <c r="B30" s="57" t="s">
        <v>817</v>
      </c>
      <c r="C30" s="77">
        <v>46139.0</v>
      </c>
      <c r="D30" s="216">
        <v>204952.0</v>
      </c>
      <c r="E30" s="60">
        <v>26.10658</v>
      </c>
      <c r="F30" s="60">
        <v>26.36339</v>
      </c>
      <c r="G30" s="62" t="s">
        <v>818</v>
      </c>
      <c r="H30" s="63" t="s">
        <v>45</v>
      </c>
      <c r="I30" s="84">
        <v>1.0</v>
      </c>
      <c r="J30" s="85">
        <v>2.8</v>
      </c>
      <c r="K30" s="88" t="s">
        <v>87</v>
      </c>
      <c r="L30" s="66" t="s">
        <v>819</v>
      </c>
      <c r="M30" s="86">
        <v>40.0</v>
      </c>
      <c r="N30" s="72">
        <v>0.48</v>
      </c>
      <c r="O30" s="87">
        <v>2.7039999999999997</v>
      </c>
      <c r="P30" s="70" t="s">
        <v>820</v>
      </c>
      <c r="Q30" s="71"/>
      <c r="R30" s="72"/>
      <c r="S30" s="71"/>
      <c r="T30" s="73"/>
      <c r="U30" s="73"/>
      <c r="V30" s="74" t="s">
        <v>38</v>
      </c>
      <c r="W30" s="74" t="b">
        <v>1</v>
      </c>
      <c r="X30" s="74" t="b">
        <v>0</v>
      </c>
      <c r="Y30" s="74" t="b">
        <v>1</v>
      </c>
      <c r="Z30" s="75" t="str">
        <f>IFERROR(__xludf.DUMMYFUNCTION("""COMPUTED_VALUE"""),"#REF!")</f>
        <v>#REF!</v>
      </c>
      <c r="AA30" s="75" t="str">
        <f>IFERROR(__xludf.DUMMYFUNCTION("""COMPUTED_VALUE"""),"#REF!")</f>
        <v>#REF!</v>
      </c>
      <c r="AB30" s="76" t="str">
        <f>IFERROR(__xludf.DUMMYFUNCTION("""COMPUTED_VALUE"""),"#REF!")</f>
        <v>#REF!</v>
      </c>
      <c r="AC30" s="75"/>
      <c r="AD30" s="75"/>
      <c r="AE30" s="55"/>
      <c r="AF30" s="55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4.25" customHeight="1">
      <c r="A31" s="56">
        <v>359.0</v>
      </c>
      <c r="B31" s="57" t="s">
        <v>817</v>
      </c>
      <c r="C31" s="77">
        <v>46139.0</v>
      </c>
      <c r="D31" s="216">
        <v>204954.0</v>
      </c>
      <c r="E31" s="60">
        <v>26.10645</v>
      </c>
      <c r="F31" s="60">
        <v>26.36187</v>
      </c>
      <c r="G31" s="62" t="s">
        <v>821</v>
      </c>
      <c r="H31" s="63" t="s">
        <v>34</v>
      </c>
      <c r="I31" s="84">
        <v>1.0</v>
      </c>
      <c r="J31" s="85">
        <v>18.74</v>
      </c>
      <c r="K31" s="88" t="s">
        <v>619</v>
      </c>
      <c r="L31" s="66" t="s">
        <v>822</v>
      </c>
      <c r="M31" s="86">
        <v>4.0</v>
      </c>
      <c r="N31" s="72">
        <v>0.012</v>
      </c>
      <c r="O31" s="87">
        <v>18.737599999999997</v>
      </c>
      <c r="P31" s="70" t="s">
        <v>42</v>
      </c>
      <c r="Q31" s="71"/>
      <c r="R31" s="72"/>
      <c r="S31" s="71"/>
      <c r="T31" s="73"/>
      <c r="U31" s="73"/>
      <c r="V31" s="74" t="s">
        <v>38</v>
      </c>
      <c r="W31" s="74" t="b">
        <v>1</v>
      </c>
      <c r="X31" s="74" t="b">
        <v>0</v>
      </c>
      <c r="Y31" s="74" t="b">
        <v>1</v>
      </c>
      <c r="Z31" s="75" t="str">
        <f>IFERROR(__xludf.DUMMYFUNCTION("""COMPUTED_VALUE"""),"#REF!")</f>
        <v>#REF!</v>
      </c>
      <c r="AA31" s="75" t="str">
        <f>IFERROR(__xludf.DUMMYFUNCTION("""COMPUTED_VALUE"""),"#REF!")</f>
        <v>#REF!</v>
      </c>
      <c r="AB31" s="76" t="str">
        <f>IFERROR(__xludf.DUMMYFUNCTION("""COMPUTED_VALUE"""),"#REF!")</f>
        <v>#REF!</v>
      </c>
      <c r="AC31" s="75"/>
      <c r="AD31" s="75"/>
      <c r="AE31" s="55"/>
      <c r="AF31" s="55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4.25" customHeight="1">
      <c r="A32" s="74">
        <v>359.0</v>
      </c>
      <c r="B32" s="97" t="s">
        <v>823</v>
      </c>
      <c r="C32" s="105">
        <v>46139.0</v>
      </c>
      <c r="D32" s="59">
        <v>204957.0</v>
      </c>
      <c r="E32" s="60" t="s">
        <v>824</v>
      </c>
      <c r="F32" s="60"/>
      <c r="G32" s="99" t="s">
        <v>825</v>
      </c>
      <c r="H32" s="100" t="s">
        <v>551</v>
      </c>
      <c r="I32" s="64">
        <v>1.0</v>
      </c>
      <c r="J32" s="100">
        <v>5.52</v>
      </c>
      <c r="K32" s="65" t="s">
        <v>160</v>
      </c>
      <c r="L32" s="102" t="s">
        <v>826</v>
      </c>
      <c r="M32" s="92"/>
      <c r="N32" s="94"/>
      <c r="O32" s="69">
        <f>J32-(N32*0.2)</f>
        <v>5.52</v>
      </c>
      <c r="P32" s="70" t="s">
        <v>827</v>
      </c>
      <c r="Q32" s="71"/>
      <c r="R32" s="96"/>
      <c r="S32" s="73"/>
      <c r="T32" s="73"/>
      <c r="U32" s="73"/>
      <c r="V32" s="74" t="s">
        <v>84</v>
      </c>
      <c r="W32" s="74" t="b">
        <v>0</v>
      </c>
      <c r="X32" s="74" t="b">
        <v>0</v>
      </c>
      <c r="Y32" s="74" t="b">
        <v>1</v>
      </c>
      <c r="Z32" s="75" t="str">
        <f>IFERROR(__xludf.DUMMYFUNCTION("""COMPUTED_VALUE"""),"#REF!")</f>
        <v>#REF!</v>
      </c>
      <c r="AA32" s="75" t="str">
        <f>IFERROR(__xludf.DUMMYFUNCTION("""COMPUTED_VALUE"""),"#REF!")</f>
        <v>#REF!</v>
      </c>
      <c r="AB32" s="76" t="str">
        <f>IFERROR(__xludf.DUMMYFUNCTION("""COMPUTED_VALUE"""),"#REF!")</f>
        <v>#REF!</v>
      </c>
      <c r="AC32" s="75"/>
      <c r="AD32" s="75"/>
      <c r="AE32" s="55"/>
      <c r="AF32" s="55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ht="14.25" customHeight="1">
      <c r="A33" s="74">
        <v>359.0</v>
      </c>
      <c r="B33" s="97" t="s">
        <v>828</v>
      </c>
      <c r="C33" s="98">
        <v>46140.0</v>
      </c>
      <c r="D33" s="59">
        <v>204955.0</v>
      </c>
      <c r="E33" s="60">
        <v>26.10681</v>
      </c>
      <c r="F33" s="60">
        <v>26.36372</v>
      </c>
      <c r="G33" s="99" t="s">
        <v>829</v>
      </c>
      <c r="H33" s="100" t="s">
        <v>34</v>
      </c>
      <c r="I33" s="64">
        <v>1.0</v>
      </c>
      <c r="J33" s="197">
        <v>3.16</v>
      </c>
      <c r="K33" s="88" t="s">
        <v>91</v>
      </c>
      <c r="L33" s="102" t="s">
        <v>830</v>
      </c>
      <c r="M33" s="198"/>
      <c r="N33" s="199"/>
      <c r="O33" s="69">
        <v>3.16</v>
      </c>
      <c r="P33" s="70" t="s">
        <v>831</v>
      </c>
      <c r="Q33" s="71"/>
      <c r="R33" s="96"/>
      <c r="S33" s="73"/>
      <c r="T33" s="73"/>
      <c r="U33" s="73"/>
      <c r="V33" s="74" t="s">
        <v>38</v>
      </c>
      <c r="W33" s="74" t="b">
        <v>0</v>
      </c>
      <c r="X33" s="74" t="b">
        <v>0</v>
      </c>
      <c r="Y33" s="74" t="b">
        <v>1</v>
      </c>
      <c r="Z33" s="75" t="str">
        <f>IFERROR(__xludf.DUMMYFUNCTION("""COMPUTED_VALUE"""),"#REF!")</f>
        <v>#REF!</v>
      </c>
      <c r="AA33" s="75" t="str">
        <f>IFERROR(__xludf.DUMMYFUNCTION("""COMPUTED_VALUE"""),"#REF!")</f>
        <v>#REF!</v>
      </c>
      <c r="AB33" s="76" t="str">
        <f>IFERROR(__xludf.DUMMYFUNCTION("""COMPUTED_VALUE"""),"#REF!")</f>
        <v>#REF!</v>
      </c>
      <c r="AC33" s="75"/>
      <c r="AD33" s="75"/>
      <c r="AE33" s="55"/>
      <c r="AF33" s="55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ht="14.25" customHeight="1">
      <c r="A34" s="74">
        <v>214.0</v>
      </c>
      <c r="B34" s="218" t="s">
        <v>832</v>
      </c>
      <c r="C34" s="98">
        <v>46140.0</v>
      </c>
      <c r="D34" s="217" t="s">
        <v>833</v>
      </c>
      <c r="E34" s="219"/>
      <c r="F34" s="219"/>
      <c r="G34" s="110" t="s">
        <v>834</v>
      </c>
      <c r="H34" s="63" t="s">
        <v>45</v>
      </c>
      <c r="I34" s="64">
        <v>1.0</v>
      </c>
      <c r="J34" s="220">
        <v>1.64</v>
      </c>
      <c r="K34" s="80" t="s">
        <v>63</v>
      </c>
      <c r="L34" s="95"/>
      <c r="M34" s="106">
        <v>16.0</v>
      </c>
      <c r="N34" s="199">
        <v>0.2</v>
      </c>
      <c r="O34" s="69">
        <v>1.5999999999999999</v>
      </c>
      <c r="P34" s="70" t="s">
        <v>53</v>
      </c>
      <c r="Q34" s="71"/>
      <c r="R34" s="96"/>
      <c r="S34" s="73"/>
      <c r="T34" s="73"/>
      <c r="U34" s="73"/>
      <c r="V34" s="74" t="s">
        <v>38</v>
      </c>
      <c r="W34" s="74" t="b">
        <v>0</v>
      </c>
      <c r="X34" s="74" t="b">
        <v>0</v>
      </c>
      <c r="Y34" s="74" t="b">
        <v>0</v>
      </c>
      <c r="Z34" s="75" t="str">
        <f>IFERROR(__xludf.DUMMYFUNCTION("""COMPUTED_VALUE"""),"")</f>
        <v/>
      </c>
      <c r="AA34" s="75" t="str">
        <f>IFERROR(__xludf.DUMMYFUNCTION("""COMPUTED_VALUE"""),"")</f>
        <v/>
      </c>
      <c r="AB34" s="76" t="str">
        <f>IFERROR(__xludf.DUMMYFUNCTION("""COMPUTED_VALUE"""),"")</f>
        <v/>
      </c>
      <c r="AC34" s="75"/>
      <c r="AD34" s="75"/>
      <c r="AE34" s="55"/>
      <c r="AF34" s="55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ht="14.25" customHeight="1">
      <c r="A35" s="74">
        <v>214.0</v>
      </c>
      <c r="B35" s="218" t="s">
        <v>832</v>
      </c>
      <c r="C35" s="98">
        <v>46140.0</v>
      </c>
      <c r="D35" s="217" t="s">
        <v>835</v>
      </c>
      <c r="E35" s="219"/>
      <c r="F35" s="219"/>
      <c r="G35" s="110" t="s">
        <v>836</v>
      </c>
      <c r="H35" s="63" t="s">
        <v>45</v>
      </c>
      <c r="I35" s="64">
        <v>1.0</v>
      </c>
      <c r="J35" s="220">
        <v>1.5</v>
      </c>
      <c r="K35" s="80" t="s">
        <v>63</v>
      </c>
      <c r="L35" s="95"/>
      <c r="M35" s="106">
        <v>30.0</v>
      </c>
      <c r="N35" s="199">
        <v>0.15</v>
      </c>
      <c r="O35" s="69">
        <v>1.47</v>
      </c>
      <c r="P35" s="70" t="s">
        <v>53</v>
      </c>
      <c r="Q35" s="71"/>
      <c r="R35" s="96"/>
      <c r="S35" s="73"/>
      <c r="T35" s="73"/>
      <c r="U35" s="73"/>
      <c r="V35" s="74" t="s">
        <v>38</v>
      </c>
      <c r="W35" s="74" t="b">
        <v>0</v>
      </c>
      <c r="X35" s="74" t="b">
        <v>0</v>
      </c>
      <c r="Y35" s="74" t="b">
        <v>0</v>
      </c>
      <c r="Z35" s="75" t="str">
        <f>IFERROR(__xludf.DUMMYFUNCTION("""COMPUTED_VALUE"""),"")</f>
        <v/>
      </c>
      <c r="AA35" s="75" t="str">
        <f>IFERROR(__xludf.DUMMYFUNCTION("""COMPUTED_VALUE"""),"")</f>
        <v/>
      </c>
      <c r="AB35" s="76" t="str">
        <f>IFERROR(__xludf.DUMMYFUNCTION("""COMPUTED_VALUE"""),"")</f>
        <v/>
      </c>
      <c r="AC35" s="75"/>
      <c r="AD35" s="75"/>
      <c r="AE35" s="55"/>
      <c r="AF35" s="55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ht="14.25" customHeight="1">
      <c r="A36" s="74">
        <v>214.0</v>
      </c>
      <c r="B36" s="218" t="s">
        <v>832</v>
      </c>
      <c r="C36" s="98">
        <v>46140.0</v>
      </c>
      <c r="D36" s="217" t="s">
        <v>837</v>
      </c>
      <c r="E36" s="219"/>
      <c r="F36" s="219"/>
      <c r="G36" s="110" t="s">
        <v>838</v>
      </c>
      <c r="H36" s="63" t="s">
        <v>45</v>
      </c>
      <c r="I36" s="64">
        <v>1.0</v>
      </c>
      <c r="J36" s="220">
        <v>2.27</v>
      </c>
      <c r="K36" s="80" t="s">
        <v>63</v>
      </c>
      <c r="L36" s="95"/>
      <c r="M36" s="106">
        <v>52.0</v>
      </c>
      <c r="N36" s="199">
        <v>0.26</v>
      </c>
      <c r="O36" s="69">
        <v>2.218</v>
      </c>
      <c r="P36" s="70" t="s">
        <v>53</v>
      </c>
      <c r="Q36" s="71"/>
      <c r="R36" s="96"/>
      <c r="S36" s="73"/>
      <c r="T36" s="73"/>
      <c r="U36" s="73"/>
      <c r="V36" s="74" t="s">
        <v>38</v>
      </c>
      <c r="W36" s="74" t="b">
        <v>0</v>
      </c>
      <c r="X36" s="74" t="b">
        <v>0</v>
      </c>
      <c r="Y36" s="74" t="b">
        <v>0</v>
      </c>
      <c r="Z36" s="75" t="str">
        <f>IFERROR(__xludf.DUMMYFUNCTION("""COMPUTED_VALUE"""),"")</f>
        <v/>
      </c>
      <c r="AA36" s="75" t="str">
        <f>IFERROR(__xludf.DUMMYFUNCTION("""COMPUTED_VALUE"""),"")</f>
        <v/>
      </c>
      <c r="AB36" s="76" t="str">
        <f>IFERROR(__xludf.DUMMYFUNCTION("""COMPUTED_VALUE"""),"")</f>
        <v/>
      </c>
      <c r="AC36" s="75"/>
      <c r="AD36" s="75"/>
      <c r="AE36" s="55"/>
      <c r="AF36" s="55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4.25" customHeight="1">
      <c r="A37" s="74">
        <v>214.0</v>
      </c>
      <c r="B37" s="218" t="s">
        <v>832</v>
      </c>
      <c r="C37" s="98">
        <v>46140.0</v>
      </c>
      <c r="D37" s="217" t="s">
        <v>839</v>
      </c>
      <c r="E37" s="219"/>
      <c r="F37" s="219"/>
      <c r="G37" s="110" t="s">
        <v>840</v>
      </c>
      <c r="H37" s="63" t="s">
        <v>45</v>
      </c>
      <c r="I37" s="64">
        <v>1.0</v>
      </c>
      <c r="J37" s="220">
        <v>2.16</v>
      </c>
      <c r="K37" s="80" t="s">
        <v>63</v>
      </c>
      <c r="L37" s="95"/>
      <c r="M37" s="106">
        <v>22.0</v>
      </c>
      <c r="N37" s="199">
        <v>0.11</v>
      </c>
      <c r="O37" s="69">
        <v>2.1380000000000003</v>
      </c>
      <c r="P37" s="70" t="s">
        <v>53</v>
      </c>
      <c r="Q37" s="71"/>
      <c r="R37" s="96"/>
      <c r="S37" s="73"/>
      <c r="T37" s="73"/>
      <c r="U37" s="73"/>
      <c r="V37" s="74" t="s">
        <v>38</v>
      </c>
      <c r="W37" s="74" t="b">
        <v>0</v>
      </c>
      <c r="X37" s="74" t="b">
        <v>0</v>
      </c>
      <c r="Y37" s="74" t="b">
        <v>0</v>
      </c>
      <c r="Z37" s="75" t="str">
        <f>IFERROR(__xludf.DUMMYFUNCTION("""COMPUTED_VALUE"""),"")</f>
        <v/>
      </c>
      <c r="AA37" s="75" t="str">
        <f>IFERROR(__xludf.DUMMYFUNCTION("""COMPUTED_VALUE"""),"")</f>
        <v/>
      </c>
      <c r="AB37" s="76" t="str">
        <f>IFERROR(__xludf.DUMMYFUNCTION("""COMPUTED_VALUE"""),"")</f>
        <v/>
      </c>
      <c r="AC37" s="75"/>
      <c r="AD37" s="75"/>
      <c r="AE37" s="55"/>
      <c r="AF37" s="55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ht="14.25" customHeight="1">
      <c r="A38" s="74">
        <v>214.0</v>
      </c>
      <c r="B38" s="218" t="s">
        <v>832</v>
      </c>
      <c r="C38" s="98">
        <v>46140.0</v>
      </c>
      <c r="D38" s="217" t="s">
        <v>841</v>
      </c>
      <c r="E38" s="219"/>
      <c r="F38" s="219"/>
      <c r="G38" s="110" t="s">
        <v>842</v>
      </c>
      <c r="H38" s="63" t="s">
        <v>45</v>
      </c>
      <c r="I38" s="64">
        <v>1.0</v>
      </c>
      <c r="J38" s="220">
        <v>2.19</v>
      </c>
      <c r="K38" s="80" t="s">
        <v>63</v>
      </c>
      <c r="L38" s="95"/>
      <c r="M38" s="106">
        <v>56.0</v>
      </c>
      <c r="N38" s="199">
        <v>0.224</v>
      </c>
      <c r="O38" s="69">
        <v>2.1452</v>
      </c>
      <c r="P38" s="70" t="s">
        <v>53</v>
      </c>
      <c r="Q38" s="71"/>
      <c r="R38" s="96"/>
      <c r="S38" s="73"/>
      <c r="T38" s="73"/>
      <c r="U38" s="73"/>
      <c r="V38" s="74" t="s">
        <v>38</v>
      </c>
      <c r="W38" s="74" t="b">
        <v>0</v>
      </c>
      <c r="X38" s="74" t="b">
        <v>0</v>
      </c>
      <c r="Y38" s="74" t="b">
        <v>0</v>
      </c>
      <c r="Z38" s="75" t="str">
        <f>IFERROR(__xludf.DUMMYFUNCTION("""COMPUTED_VALUE"""),"")</f>
        <v/>
      </c>
      <c r="AA38" s="75" t="str">
        <f>IFERROR(__xludf.DUMMYFUNCTION("""COMPUTED_VALUE"""),"")</f>
        <v/>
      </c>
      <c r="AB38" s="76" t="str">
        <f>IFERROR(__xludf.DUMMYFUNCTION("""COMPUTED_VALUE"""),"")</f>
        <v/>
      </c>
      <c r="AC38" s="75"/>
      <c r="AD38" s="75"/>
      <c r="AE38" s="55"/>
      <c r="AF38" s="55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ht="14.25" customHeight="1">
      <c r="A39" s="74">
        <v>214.0</v>
      </c>
      <c r="B39" s="218" t="s">
        <v>832</v>
      </c>
      <c r="C39" s="98">
        <v>46140.0</v>
      </c>
      <c r="D39" s="217">
        <v>115718.0</v>
      </c>
      <c r="E39" s="219"/>
      <c r="F39" s="219"/>
      <c r="G39" s="110" t="s">
        <v>843</v>
      </c>
      <c r="H39" s="63" t="s">
        <v>45</v>
      </c>
      <c r="I39" s="64">
        <v>1.0</v>
      </c>
      <c r="J39" s="220">
        <v>21.67</v>
      </c>
      <c r="K39" s="65" t="s">
        <v>126</v>
      </c>
      <c r="L39" s="95"/>
      <c r="M39" s="106">
        <v>101.0</v>
      </c>
      <c r="N39" s="199">
        <v>0.672</v>
      </c>
      <c r="O39" s="69">
        <v>21.535600000000002</v>
      </c>
      <c r="P39" s="70" t="s">
        <v>53</v>
      </c>
      <c r="Q39" s="71"/>
      <c r="R39" s="96"/>
      <c r="S39" s="73"/>
      <c r="T39" s="73"/>
      <c r="U39" s="73"/>
      <c r="V39" s="74" t="s">
        <v>38</v>
      </c>
      <c r="W39" s="74" t="b">
        <v>0</v>
      </c>
      <c r="X39" s="74" t="b">
        <v>0</v>
      </c>
      <c r="Y39" s="74" t="b">
        <v>0</v>
      </c>
      <c r="Z39" s="75" t="str">
        <f>IFERROR(__xludf.DUMMYFUNCTION("""COMPUTED_VALUE"""),"")</f>
        <v/>
      </c>
      <c r="AA39" s="75" t="str">
        <f>IFERROR(__xludf.DUMMYFUNCTION("""COMPUTED_VALUE"""),"")</f>
        <v/>
      </c>
      <c r="AB39" s="76" t="str">
        <f>IFERROR(__xludf.DUMMYFUNCTION("""COMPUTED_VALUE"""),"")</f>
        <v/>
      </c>
      <c r="AC39" s="75"/>
      <c r="AD39" s="75"/>
      <c r="AE39" s="55"/>
      <c r="AF39" s="55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ht="14.25" customHeight="1">
      <c r="A40" s="74">
        <v>214.0</v>
      </c>
      <c r="B40" s="221" t="s">
        <v>844</v>
      </c>
      <c r="C40" s="98">
        <v>46141.0</v>
      </c>
      <c r="D40" s="59">
        <v>118293.0</v>
      </c>
      <c r="E40" s="222">
        <v>25.9242</v>
      </c>
      <c r="F40" s="219">
        <v>26.3633</v>
      </c>
      <c r="G40" s="110" t="s">
        <v>845</v>
      </c>
      <c r="H40" s="94" t="s">
        <v>56</v>
      </c>
      <c r="I40" s="196">
        <v>1.0</v>
      </c>
      <c r="J40" s="94">
        <v>23.1</v>
      </c>
      <c r="K40" s="80" t="s">
        <v>57</v>
      </c>
      <c r="L40" s="95" t="s">
        <v>846</v>
      </c>
      <c r="M40" s="106"/>
      <c r="N40" s="107"/>
      <c r="O40" s="69">
        <f t="shared" ref="O40:O72" si="10">J40-(N40*0.2)</f>
        <v>23.1</v>
      </c>
      <c r="P40" s="70" t="s">
        <v>59</v>
      </c>
      <c r="Q40" s="71"/>
      <c r="R40" s="96"/>
      <c r="S40" s="73"/>
      <c r="T40" s="73"/>
      <c r="U40" s="73"/>
      <c r="V40" s="74" t="s">
        <v>38</v>
      </c>
      <c r="W40" s="74" t="b">
        <v>0</v>
      </c>
      <c r="X40" s="74" t="b">
        <v>0</v>
      </c>
      <c r="Y40" s="74" t="b">
        <v>1</v>
      </c>
      <c r="Z40" s="75" t="str">
        <f>IFERROR(__xludf.DUMMYFUNCTION("""COMPUTED_VALUE"""),"#REF!")</f>
        <v>#REF!</v>
      </c>
      <c r="AA40" s="75" t="str">
        <f>IFERROR(__xludf.DUMMYFUNCTION("""COMPUTED_VALUE"""),"#REF!")</f>
        <v>#REF!</v>
      </c>
      <c r="AB40" s="76" t="str">
        <f>IFERROR(__xludf.DUMMYFUNCTION("""COMPUTED_VALUE"""),"#REF!")</f>
        <v>#REF!</v>
      </c>
      <c r="AC40" s="75"/>
      <c r="AD40" s="75"/>
      <c r="AE40" s="55"/>
      <c r="AF40" s="55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ht="14.25" customHeight="1">
      <c r="A41" s="74"/>
      <c r="B41" s="97"/>
      <c r="C41" s="105"/>
      <c r="D41" s="59"/>
      <c r="E41" s="60"/>
      <c r="F41" s="60"/>
      <c r="G41" s="99"/>
      <c r="H41" s="100"/>
      <c r="I41" s="64"/>
      <c r="J41" s="100"/>
      <c r="K41" s="92"/>
      <c r="L41" s="102"/>
      <c r="M41" s="92"/>
      <c r="N41" s="94"/>
      <c r="O41" s="69">
        <f t="shared" si="10"/>
        <v>0</v>
      </c>
      <c r="P41" s="70"/>
      <c r="Q41" s="71"/>
      <c r="R41" s="96"/>
      <c r="S41" s="73"/>
      <c r="T41" s="73"/>
      <c r="U41" s="73"/>
      <c r="V41" s="74"/>
      <c r="W41" s="74" t="b">
        <v>0</v>
      </c>
      <c r="X41" s="74" t="b">
        <v>0</v>
      </c>
      <c r="Y41" s="74" t="b">
        <v>0</v>
      </c>
      <c r="Z41" s="75" t="str">
        <f>IFERROR(__xludf.DUMMYFUNCTION("""COMPUTED_VALUE"""),"")</f>
        <v/>
      </c>
      <c r="AA41" s="75" t="str">
        <f>IFERROR(__xludf.DUMMYFUNCTION("""COMPUTED_VALUE"""),"")</f>
        <v/>
      </c>
      <c r="AB41" s="76" t="str">
        <f>IFERROR(__xludf.DUMMYFUNCTION("""COMPUTED_VALUE"""),"")</f>
        <v/>
      </c>
      <c r="AC41" s="75"/>
      <c r="AD41" s="75"/>
      <c r="AE41" s="55"/>
      <c r="AF41" s="55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ht="14.25" customHeight="1">
      <c r="A42" s="74"/>
      <c r="B42" s="97"/>
      <c r="C42" s="105"/>
      <c r="D42" s="59"/>
      <c r="E42" s="60"/>
      <c r="F42" s="60"/>
      <c r="G42" s="99"/>
      <c r="H42" s="100"/>
      <c r="I42" s="64"/>
      <c r="J42" s="100"/>
      <c r="K42" s="92"/>
      <c r="L42" s="102"/>
      <c r="M42" s="92"/>
      <c r="N42" s="94"/>
      <c r="O42" s="69">
        <f t="shared" si="10"/>
        <v>0</v>
      </c>
      <c r="P42" s="70"/>
      <c r="Q42" s="71"/>
      <c r="R42" s="96"/>
      <c r="S42" s="73"/>
      <c r="T42" s="73"/>
      <c r="U42" s="73"/>
      <c r="V42" s="74"/>
      <c r="W42" s="74" t="b">
        <v>0</v>
      </c>
      <c r="X42" s="74" t="b">
        <v>0</v>
      </c>
      <c r="Y42" s="74" t="b">
        <v>0</v>
      </c>
      <c r="Z42" s="75" t="str">
        <f>IFERROR(__xludf.DUMMYFUNCTION("""COMPUTED_VALUE"""),"")</f>
        <v/>
      </c>
      <c r="AA42" s="75" t="str">
        <f>IFERROR(__xludf.DUMMYFUNCTION("""COMPUTED_VALUE"""),"")</f>
        <v/>
      </c>
      <c r="AB42" s="76" t="str">
        <f>IFERROR(__xludf.DUMMYFUNCTION("""COMPUTED_VALUE"""),"")</f>
        <v/>
      </c>
      <c r="AC42" s="75"/>
      <c r="AD42" s="75"/>
      <c r="AE42" s="55"/>
      <c r="AF42" s="55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ht="14.25" customHeight="1">
      <c r="A43" s="74"/>
      <c r="B43" s="97"/>
      <c r="C43" s="105"/>
      <c r="D43" s="59"/>
      <c r="E43" s="60"/>
      <c r="F43" s="60"/>
      <c r="G43" s="99"/>
      <c r="H43" s="100"/>
      <c r="I43" s="64"/>
      <c r="J43" s="100"/>
      <c r="K43" s="92"/>
      <c r="L43" s="102"/>
      <c r="M43" s="92"/>
      <c r="N43" s="94"/>
      <c r="O43" s="69">
        <f t="shared" si="10"/>
        <v>0</v>
      </c>
      <c r="P43" s="70"/>
      <c r="Q43" s="71"/>
      <c r="R43" s="96"/>
      <c r="S43" s="73"/>
      <c r="T43" s="73"/>
      <c r="U43" s="73"/>
      <c r="V43" s="74"/>
      <c r="W43" s="74" t="b">
        <v>0</v>
      </c>
      <c r="X43" s="74" t="b">
        <v>0</v>
      </c>
      <c r="Y43" s="74" t="b">
        <v>0</v>
      </c>
      <c r="Z43" s="75" t="str">
        <f>IFERROR(__xludf.DUMMYFUNCTION("""COMPUTED_VALUE"""),"")</f>
        <v/>
      </c>
      <c r="AA43" s="75" t="str">
        <f>IFERROR(__xludf.DUMMYFUNCTION("""COMPUTED_VALUE"""),"")</f>
        <v/>
      </c>
      <c r="AB43" s="76" t="str">
        <f>IFERROR(__xludf.DUMMYFUNCTION("""COMPUTED_VALUE"""),"")</f>
        <v/>
      </c>
      <c r="AC43" s="75"/>
      <c r="AD43" s="75"/>
      <c r="AE43" s="55"/>
      <c r="AF43" s="55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ht="14.25" customHeight="1">
      <c r="A44" s="74"/>
      <c r="B44" s="97"/>
      <c r="C44" s="105"/>
      <c r="D44" s="117"/>
      <c r="E44" s="60"/>
      <c r="F44" s="60"/>
      <c r="G44" s="99"/>
      <c r="H44" s="100"/>
      <c r="I44" s="196"/>
      <c r="J44" s="100"/>
      <c r="K44" s="92"/>
      <c r="L44" s="102"/>
      <c r="M44" s="92"/>
      <c r="N44" s="94"/>
      <c r="O44" s="69">
        <f t="shared" si="10"/>
        <v>0</v>
      </c>
      <c r="P44" s="70"/>
      <c r="Q44" s="71"/>
      <c r="R44" s="96"/>
      <c r="S44" s="73"/>
      <c r="T44" s="73"/>
      <c r="U44" s="73"/>
      <c r="V44" s="74"/>
      <c r="W44" s="74" t="b">
        <v>0</v>
      </c>
      <c r="X44" s="74" t="b">
        <v>0</v>
      </c>
      <c r="Y44" s="74" t="b">
        <v>0</v>
      </c>
      <c r="Z44" s="75" t="str">
        <f>IFERROR(__xludf.DUMMYFUNCTION("""COMPUTED_VALUE"""),"")</f>
        <v/>
      </c>
      <c r="AA44" s="75" t="str">
        <f>IFERROR(__xludf.DUMMYFUNCTION("""COMPUTED_VALUE"""),"")</f>
        <v/>
      </c>
      <c r="AB44" s="76" t="str">
        <f>IFERROR(__xludf.DUMMYFUNCTION("""COMPUTED_VALUE"""),"")</f>
        <v/>
      </c>
      <c r="AC44" s="75"/>
      <c r="AD44" s="75"/>
      <c r="AE44" s="55"/>
      <c r="AF44" s="55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4.25" customHeight="1">
      <c r="A45" s="74"/>
      <c r="B45" s="97"/>
      <c r="C45" s="105"/>
      <c r="D45" s="117"/>
      <c r="E45" s="60"/>
      <c r="F45" s="60"/>
      <c r="G45" s="99"/>
      <c r="H45" s="100"/>
      <c r="I45" s="196"/>
      <c r="J45" s="100"/>
      <c r="K45" s="92"/>
      <c r="L45" s="102"/>
      <c r="M45" s="92"/>
      <c r="N45" s="94"/>
      <c r="O45" s="69">
        <f t="shared" si="10"/>
        <v>0</v>
      </c>
      <c r="P45" s="70"/>
      <c r="Q45" s="71"/>
      <c r="R45" s="96"/>
      <c r="S45" s="73"/>
      <c r="T45" s="73"/>
      <c r="U45" s="73"/>
      <c r="V45" s="74"/>
      <c r="W45" s="74" t="b">
        <v>0</v>
      </c>
      <c r="X45" s="74" t="b">
        <v>0</v>
      </c>
      <c r="Y45" s="74" t="b">
        <v>0</v>
      </c>
      <c r="Z45" s="75" t="str">
        <f>IFERROR(__xludf.DUMMYFUNCTION("""COMPUTED_VALUE"""),"")</f>
        <v/>
      </c>
      <c r="AA45" s="75" t="str">
        <f>IFERROR(__xludf.DUMMYFUNCTION("""COMPUTED_VALUE"""),"")</f>
        <v/>
      </c>
      <c r="AB45" s="76" t="str">
        <f>IFERROR(__xludf.DUMMYFUNCTION("""COMPUTED_VALUE"""),"")</f>
        <v/>
      </c>
      <c r="AC45" s="75"/>
      <c r="AD45" s="75"/>
      <c r="AE45" s="55"/>
      <c r="AF45" s="55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14.25" customHeight="1">
      <c r="A46" s="74"/>
      <c r="B46" s="97"/>
      <c r="C46" s="105"/>
      <c r="D46" s="59"/>
      <c r="E46" s="60"/>
      <c r="F46" s="60"/>
      <c r="G46" s="99"/>
      <c r="H46" s="100"/>
      <c r="I46" s="120"/>
      <c r="J46" s="100"/>
      <c r="K46" s="92"/>
      <c r="L46" s="102"/>
      <c r="M46" s="92"/>
      <c r="N46" s="94"/>
      <c r="O46" s="69">
        <f t="shared" si="10"/>
        <v>0</v>
      </c>
      <c r="P46" s="70"/>
      <c r="Q46" s="71"/>
      <c r="R46" s="96"/>
      <c r="S46" s="73"/>
      <c r="T46" s="73"/>
      <c r="U46" s="73"/>
      <c r="V46" s="74"/>
      <c r="W46" s="74" t="b">
        <v>0</v>
      </c>
      <c r="X46" s="74" t="b">
        <v>0</v>
      </c>
      <c r="Y46" s="74" t="b">
        <v>0</v>
      </c>
      <c r="Z46" s="75" t="str">
        <f>IFERROR(__xludf.DUMMYFUNCTION("""COMPUTED_VALUE"""),"")</f>
        <v/>
      </c>
      <c r="AA46" s="75" t="str">
        <f>IFERROR(__xludf.DUMMYFUNCTION("""COMPUTED_VALUE"""),"")</f>
        <v/>
      </c>
      <c r="AB46" s="76" t="str">
        <f>IFERROR(__xludf.DUMMYFUNCTION("""COMPUTED_VALUE"""),"")</f>
        <v/>
      </c>
      <c r="AC46" s="75"/>
      <c r="AD46" s="75"/>
      <c r="AE46" s="55"/>
      <c r="AF46" s="55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14.25" customHeight="1">
      <c r="A47" s="74"/>
      <c r="B47" s="97"/>
      <c r="C47" s="98"/>
      <c r="D47" s="109"/>
      <c r="E47" s="60"/>
      <c r="F47" s="60"/>
      <c r="G47" s="99"/>
      <c r="H47" s="100"/>
      <c r="I47" s="196"/>
      <c r="J47" s="101"/>
      <c r="K47" s="88"/>
      <c r="L47" s="102"/>
      <c r="M47" s="103"/>
      <c r="N47" s="104"/>
      <c r="O47" s="69">
        <f t="shared" si="10"/>
        <v>0</v>
      </c>
      <c r="P47" s="70"/>
      <c r="Q47" s="71"/>
      <c r="R47" s="96"/>
      <c r="S47" s="73"/>
      <c r="T47" s="73"/>
      <c r="U47" s="73"/>
      <c r="V47" s="74"/>
      <c r="W47" s="74" t="b">
        <v>0</v>
      </c>
      <c r="X47" s="74" t="b">
        <v>0</v>
      </c>
      <c r="Y47" s="74" t="b">
        <v>0</v>
      </c>
      <c r="Z47" s="75" t="str">
        <f>IFERROR(__xludf.DUMMYFUNCTION("""COMPUTED_VALUE"""),"")</f>
        <v/>
      </c>
      <c r="AA47" s="75" t="str">
        <f>IFERROR(__xludf.DUMMYFUNCTION("""COMPUTED_VALUE"""),"")</f>
        <v/>
      </c>
      <c r="AB47" s="76" t="str">
        <f>IFERROR(__xludf.DUMMYFUNCTION("""COMPUTED_VALUE"""),"")</f>
        <v/>
      </c>
      <c r="AC47" s="75"/>
      <c r="AD47" s="75"/>
      <c r="AE47" s="55"/>
      <c r="AF47" s="55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14.25" customHeight="1">
      <c r="A48" s="74"/>
      <c r="B48" s="97"/>
      <c r="C48" s="98"/>
      <c r="D48" s="74"/>
      <c r="E48" s="93"/>
      <c r="F48" s="61"/>
      <c r="G48" s="99"/>
      <c r="H48" s="100"/>
      <c r="I48" s="64"/>
      <c r="J48" s="197"/>
      <c r="K48" s="88"/>
      <c r="L48" s="102"/>
      <c r="M48" s="198"/>
      <c r="N48" s="199"/>
      <c r="O48" s="69">
        <f t="shared" si="10"/>
        <v>0</v>
      </c>
      <c r="P48" s="70"/>
      <c r="Q48" s="71"/>
      <c r="R48" s="96"/>
      <c r="S48" s="73"/>
      <c r="T48" s="73"/>
      <c r="U48" s="73"/>
      <c r="V48" s="74"/>
      <c r="W48" s="74" t="b">
        <v>0</v>
      </c>
      <c r="X48" s="74" t="b">
        <v>0</v>
      </c>
      <c r="Y48" s="74" t="b">
        <v>0</v>
      </c>
      <c r="Z48" s="75" t="str">
        <f>IFERROR(__xludf.DUMMYFUNCTION("""COMPUTED_VALUE"""),"")</f>
        <v/>
      </c>
      <c r="AA48" s="75" t="str">
        <f>IFERROR(__xludf.DUMMYFUNCTION("""COMPUTED_VALUE"""),"")</f>
        <v/>
      </c>
      <c r="AB48" s="76" t="str">
        <f>IFERROR(__xludf.DUMMYFUNCTION("""COMPUTED_VALUE"""),"")</f>
        <v/>
      </c>
      <c r="AC48" s="75"/>
      <c r="AD48" s="75"/>
      <c r="AE48" s="55"/>
      <c r="AF48" s="55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ht="14.25" customHeight="1">
      <c r="A49" s="74"/>
      <c r="B49" s="97"/>
      <c r="C49" s="98"/>
      <c r="D49" s="109"/>
      <c r="E49" s="93"/>
      <c r="F49" s="61"/>
      <c r="G49" s="99"/>
      <c r="H49" s="100"/>
      <c r="I49" s="196"/>
      <c r="J49" s="101"/>
      <c r="K49" s="88"/>
      <c r="L49" s="102"/>
      <c r="M49" s="103"/>
      <c r="N49" s="104"/>
      <c r="O49" s="69">
        <f t="shared" si="10"/>
        <v>0</v>
      </c>
      <c r="P49" s="70"/>
      <c r="Q49" s="71"/>
      <c r="R49" s="96"/>
      <c r="S49" s="73"/>
      <c r="T49" s="73"/>
      <c r="U49" s="73"/>
      <c r="V49" s="74"/>
      <c r="W49" s="74" t="b">
        <v>0</v>
      </c>
      <c r="X49" s="74" t="b">
        <v>0</v>
      </c>
      <c r="Y49" s="74" t="b">
        <v>0</v>
      </c>
      <c r="Z49" s="75" t="str">
        <f>IFERROR(__xludf.DUMMYFUNCTION("""COMPUTED_VALUE"""),"")</f>
        <v/>
      </c>
      <c r="AA49" s="75" t="str">
        <f>IFERROR(__xludf.DUMMYFUNCTION("""COMPUTED_VALUE"""),"")</f>
        <v/>
      </c>
      <c r="AB49" s="76" t="str">
        <f>IFERROR(__xludf.DUMMYFUNCTION("""COMPUTED_VALUE"""),"")</f>
        <v/>
      </c>
      <c r="AC49" s="75"/>
      <c r="AD49" s="75"/>
      <c r="AE49" s="55"/>
      <c r="AF49" s="55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ht="14.25" customHeight="1">
      <c r="A50" s="74"/>
      <c r="B50" s="97"/>
      <c r="C50" s="105"/>
      <c r="D50" s="59"/>
      <c r="E50" s="93"/>
      <c r="F50" s="61"/>
      <c r="G50" s="99"/>
      <c r="H50" s="100"/>
      <c r="I50" s="120"/>
      <c r="J50" s="100"/>
      <c r="K50" s="92"/>
      <c r="L50" s="102"/>
      <c r="M50" s="92"/>
      <c r="N50" s="94"/>
      <c r="O50" s="69">
        <f t="shared" si="10"/>
        <v>0</v>
      </c>
      <c r="P50" s="70"/>
      <c r="Q50" s="71"/>
      <c r="R50" s="96"/>
      <c r="S50" s="73"/>
      <c r="T50" s="73"/>
      <c r="U50" s="73"/>
      <c r="V50" s="74"/>
      <c r="W50" s="74" t="b">
        <v>0</v>
      </c>
      <c r="X50" s="74" t="b">
        <v>0</v>
      </c>
      <c r="Y50" s="74" t="b">
        <v>0</v>
      </c>
      <c r="Z50" s="75" t="str">
        <f>IFERROR(__xludf.DUMMYFUNCTION("""COMPUTED_VALUE"""),"")</f>
        <v/>
      </c>
      <c r="AA50" s="75" t="str">
        <f>IFERROR(__xludf.DUMMYFUNCTION("""COMPUTED_VALUE"""),"")</f>
        <v/>
      </c>
      <c r="AB50" s="76" t="str">
        <f>IFERROR(__xludf.DUMMYFUNCTION("""COMPUTED_VALUE"""),"")</f>
        <v/>
      </c>
      <c r="AC50" s="75"/>
      <c r="AD50" s="75"/>
      <c r="AE50" s="55"/>
      <c r="AF50" s="55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14.25" customHeight="1">
      <c r="A51" s="74"/>
      <c r="B51" s="97"/>
      <c r="C51" s="105"/>
      <c r="D51" s="59"/>
      <c r="E51" s="93"/>
      <c r="F51" s="61"/>
      <c r="G51" s="110"/>
      <c r="H51" s="100"/>
      <c r="I51" s="120"/>
      <c r="J51" s="200"/>
      <c r="K51" s="92"/>
      <c r="L51" s="102"/>
      <c r="M51" s="92"/>
      <c r="N51" s="94"/>
      <c r="O51" s="69">
        <f t="shared" si="10"/>
        <v>0</v>
      </c>
      <c r="P51" s="70"/>
      <c r="Q51" s="71"/>
      <c r="R51" s="96"/>
      <c r="S51" s="73"/>
      <c r="T51" s="73"/>
      <c r="U51" s="73"/>
      <c r="V51" s="74"/>
      <c r="W51" s="74" t="b">
        <v>0</v>
      </c>
      <c r="X51" s="74" t="b">
        <v>0</v>
      </c>
      <c r="Y51" s="74" t="b">
        <v>0</v>
      </c>
      <c r="Z51" s="75" t="str">
        <f>IFERROR(__xludf.DUMMYFUNCTION("""COMPUTED_VALUE"""),"")</f>
        <v/>
      </c>
      <c r="AA51" s="75" t="str">
        <f>IFERROR(__xludf.DUMMYFUNCTION("""COMPUTED_VALUE"""),"")</f>
        <v/>
      </c>
      <c r="AB51" s="76" t="str">
        <f>IFERROR(__xludf.DUMMYFUNCTION("""COMPUTED_VALUE"""),"")</f>
        <v/>
      </c>
      <c r="AC51" s="75"/>
      <c r="AD51" s="75"/>
      <c r="AE51" s="55"/>
      <c r="AF51" s="55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14.25" customHeight="1">
      <c r="A52" s="74"/>
      <c r="B52" s="97"/>
      <c r="C52" s="105"/>
      <c r="D52" s="59"/>
      <c r="E52" s="93"/>
      <c r="F52" s="61"/>
      <c r="G52" s="99"/>
      <c r="H52" s="100"/>
      <c r="I52" s="120"/>
      <c r="J52" s="100"/>
      <c r="K52" s="92"/>
      <c r="L52" s="102"/>
      <c r="M52" s="103"/>
      <c r="N52" s="104"/>
      <c r="O52" s="69">
        <f t="shared" si="10"/>
        <v>0</v>
      </c>
      <c r="P52" s="70"/>
      <c r="Q52" s="71"/>
      <c r="R52" s="74"/>
      <c r="S52" s="73"/>
      <c r="T52" s="73"/>
      <c r="U52" s="73"/>
      <c r="V52" s="74"/>
      <c r="W52" s="74" t="b">
        <v>0</v>
      </c>
      <c r="X52" s="74" t="b">
        <v>0</v>
      </c>
      <c r="Y52" s="74" t="b">
        <v>0</v>
      </c>
      <c r="Z52" s="75" t="str">
        <f>IFERROR(__xludf.DUMMYFUNCTION("""COMPUTED_VALUE"""),"")</f>
        <v/>
      </c>
      <c r="AA52" s="75" t="str">
        <f>IFERROR(__xludf.DUMMYFUNCTION("""COMPUTED_VALUE"""),"")</f>
        <v/>
      </c>
      <c r="AB52" s="76" t="str">
        <f>IFERROR(__xludf.DUMMYFUNCTION("""COMPUTED_VALUE"""),"")</f>
        <v/>
      </c>
      <c r="AC52" s="75"/>
      <c r="AD52" s="75"/>
      <c r="AE52" s="55"/>
      <c r="AF52" s="55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4.25" customHeight="1">
      <c r="A53" s="74"/>
      <c r="B53" s="97"/>
      <c r="C53" s="98"/>
      <c r="D53" s="109"/>
      <c r="E53" s="93"/>
      <c r="F53" s="61"/>
      <c r="G53" s="99"/>
      <c r="H53" s="100"/>
      <c r="I53" s="84"/>
      <c r="J53" s="101"/>
      <c r="K53" s="88"/>
      <c r="L53" s="102"/>
      <c r="M53" s="103"/>
      <c r="N53" s="104"/>
      <c r="O53" s="69">
        <f t="shared" si="10"/>
        <v>0</v>
      </c>
      <c r="P53" s="70"/>
      <c r="Q53" s="71"/>
      <c r="R53" s="96"/>
      <c r="S53" s="73"/>
      <c r="T53" s="73"/>
      <c r="U53" s="73"/>
      <c r="V53" s="74"/>
      <c r="W53" s="74" t="b">
        <v>0</v>
      </c>
      <c r="X53" s="74" t="b">
        <v>0</v>
      </c>
      <c r="Y53" s="74" t="b">
        <v>0</v>
      </c>
      <c r="Z53" s="75" t="str">
        <f>IFERROR(__xludf.DUMMYFUNCTION("""COMPUTED_VALUE"""),"")</f>
        <v/>
      </c>
      <c r="AA53" s="75" t="str">
        <f>IFERROR(__xludf.DUMMYFUNCTION("""COMPUTED_VALUE"""),"")</f>
        <v/>
      </c>
      <c r="AB53" s="76" t="str">
        <f>IFERROR(__xludf.DUMMYFUNCTION("""COMPUTED_VALUE"""),"")</f>
        <v/>
      </c>
      <c r="AC53" s="75"/>
      <c r="AD53" s="75"/>
      <c r="AE53" s="55"/>
      <c r="AF53" s="55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ht="14.25" customHeight="1">
      <c r="A54" s="74"/>
      <c r="B54" s="97"/>
      <c r="C54" s="98"/>
      <c r="D54" s="109"/>
      <c r="E54" s="93"/>
      <c r="F54" s="61"/>
      <c r="G54" s="99"/>
      <c r="H54" s="100"/>
      <c r="I54" s="84"/>
      <c r="J54" s="101"/>
      <c r="K54" s="88"/>
      <c r="L54" s="102"/>
      <c r="M54" s="103"/>
      <c r="N54" s="104"/>
      <c r="O54" s="69">
        <f t="shared" si="10"/>
        <v>0</v>
      </c>
      <c r="P54" s="70"/>
      <c r="Q54" s="71"/>
      <c r="R54" s="96"/>
      <c r="S54" s="73"/>
      <c r="T54" s="73"/>
      <c r="U54" s="73"/>
      <c r="V54" s="74"/>
      <c r="W54" s="74" t="b">
        <v>0</v>
      </c>
      <c r="X54" s="74" t="b">
        <v>0</v>
      </c>
      <c r="Y54" s="74" t="b">
        <v>0</v>
      </c>
      <c r="Z54" s="75" t="str">
        <f>IFERROR(__xludf.DUMMYFUNCTION("""COMPUTED_VALUE"""),"")</f>
        <v/>
      </c>
      <c r="AA54" s="75" t="str">
        <f>IFERROR(__xludf.DUMMYFUNCTION("""COMPUTED_VALUE"""),"")</f>
        <v/>
      </c>
      <c r="AB54" s="76" t="str">
        <f>IFERROR(__xludf.DUMMYFUNCTION("""COMPUTED_VALUE"""),"")</f>
        <v/>
      </c>
      <c r="AC54" s="75"/>
      <c r="AD54" s="75"/>
      <c r="AE54" s="55"/>
      <c r="AF54" s="55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ht="14.25" customHeight="1">
      <c r="A55" s="74"/>
      <c r="B55" s="97"/>
      <c r="C55" s="105"/>
      <c r="D55" s="59"/>
      <c r="E55" s="93"/>
      <c r="F55" s="61"/>
      <c r="G55" s="99"/>
      <c r="H55" s="100"/>
      <c r="I55" s="120"/>
      <c r="J55" s="100"/>
      <c r="K55" s="92"/>
      <c r="L55" s="102"/>
      <c r="M55" s="106"/>
      <c r="N55" s="107"/>
      <c r="O55" s="69">
        <f t="shared" si="10"/>
        <v>0</v>
      </c>
      <c r="P55" s="70"/>
      <c r="Q55" s="71"/>
      <c r="R55" s="96"/>
      <c r="S55" s="73"/>
      <c r="T55" s="73"/>
      <c r="U55" s="73"/>
      <c r="V55" s="74"/>
      <c r="W55" s="74" t="b">
        <v>0</v>
      </c>
      <c r="X55" s="74" t="b">
        <v>0</v>
      </c>
      <c r="Y55" s="74" t="b">
        <v>0</v>
      </c>
      <c r="Z55" s="75" t="str">
        <f>IFERROR(__xludf.DUMMYFUNCTION("""COMPUTED_VALUE"""),"")</f>
        <v/>
      </c>
      <c r="AA55" s="75" t="str">
        <f>IFERROR(__xludf.DUMMYFUNCTION("""COMPUTED_VALUE"""),"")</f>
        <v/>
      </c>
      <c r="AB55" s="76" t="str">
        <f>IFERROR(__xludf.DUMMYFUNCTION("""COMPUTED_VALUE"""),"")</f>
        <v/>
      </c>
      <c r="AC55" s="75"/>
      <c r="AD55" s="75"/>
      <c r="AE55" s="55"/>
      <c r="AF55" s="55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4.25" customHeight="1">
      <c r="A56" s="74"/>
      <c r="B56" s="97"/>
      <c r="C56" s="105"/>
      <c r="D56" s="59"/>
      <c r="E56" s="93"/>
      <c r="F56" s="61"/>
      <c r="G56" s="99"/>
      <c r="H56" s="100"/>
      <c r="I56" s="120"/>
      <c r="J56" s="100"/>
      <c r="K56" s="92"/>
      <c r="L56" s="102"/>
      <c r="M56" s="106"/>
      <c r="N56" s="107"/>
      <c r="O56" s="69">
        <f t="shared" si="10"/>
        <v>0</v>
      </c>
      <c r="P56" s="70"/>
      <c r="Q56" s="71"/>
      <c r="R56" s="96"/>
      <c r="S56" s="73"/>
      <c r="T56" s="73"/>
      <c r="U56" s="73"/>
      <c r="V56" s="74"/>
      <c r="W56" s="74" t="b">
        <v>0</v>
      </c>
      <c r="X56" s="74" t="b">
        <v>0</v>
      </c>
      <c r="Y56" s="74" t="b">
        <v>0</v>
      </c>
      <c r="Z56" s="75" t="str">
        <f>IFERROR(__xludf.DUMMYFUNCTION("""COMPUTED_VALUE"""),"")</f>
        <v/>
      </c>
      <c r="AA56" s="75" t="str">
        <f>IFERROR(__xludf.DUMMYFUNCTION("""COMPUTED_VALUE"""),"")</f>
        <v/>
      </c>
      <c r="AB56" s="76" t="str">
        <f>IFERROR(__xludf.DUMMYFUNCTION("""COMPUTED_VALUE"""),"")</f>
        <v/>
      </c>
      <c r="AC56" s="75"/>
      <c r="AD56" s="75"/>
      <c r="AE56" s="55"/>
      <c r="AF56" s="55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4.25" customHeight="1">
      <c r="A57" s="74"/>
      <c r="B57" s="97"/>
      <c r="C57" s="105"/>
      <c r="D57" s="59"/>
      <c r="E57" s="93"/>
      <c r="F57" s="121"/>
      <c r="G57" s="99"/>
      <c r="H57" s="100"/>
      <c r="I57" s="120"/>
      <c r="J57" s="100"/>
      <c r="K57" s="92"/>
      <c r="L57" s="102"/>
      <c r="M57" s="106"/>
      <c r="N57" s="107"/>
      <c r="O57" s="69">
        <f t="shared" si="10"/>
        <v>0</v>
      </c>
      <c r="P57" s="70"/>
      <c r="Q57" s="71"/>
      <c r="R57" s="96"/>
      <c r="S57" s="73"/>
      <c r="T57" s="73"/>
      <c r="U57" s="73"/>
      <c r="V57" s="74"/>
      <c r="W57" s="74" t="b">
        <v>0</v>
      </c>
      <c r="X57" s="74" t="b">
        <v>0</v>
      </c>
      <c r="Y57" s="74" t="b">
        <v>0</v>
      </c>
      <c r="Z57" s="75" t="str">
        <f>IFERROR(__xludf.DUMMYFUNCTION("""COMPUTED_VALUE"""),"")</f>
        <v/>
      </c>
      <c r="AA57" s="75" t="str">
        <f>IFERROR(__xludf.DUMMYFUNCTION("""COMPUTED_VALUE"""),"")</f>
        <v/>
      </c>
      <c r="AB57" s="76" t="str">
        <f>IFERROR(__xludf.DUMMYFUNCTION("""COMPUTED_VALUE"""),"")</f>
        <v/>
      </c>
      <c r="AC57" s="75"/>
      <c r="AD57" s="75"/>
      <c r="AE57" s="55"/>
      <c r="AF57" s="55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4.25" customHeight="1">
      <c r="A58" s="74"/>
      <c r="B58" s="97"/>
      <c r="C58" s="105"/>
      <c r="D58" s="114"/>
      <c r="E58" s="93"/>
      <c r="F58" s="121"/>
      <c r="G58" s="99"/>
      <c r="H58" s="100"/>
      <c r="I58" s="120"/>
      <c r="J58" s="100"/>
      <c r="K58" s="92"/>
      <c r="L58" s="102"/>
      <c r="M58" s="106"/>
      <c r="N58" s="107"/>
      <c r="O58" s="69">
        <f t="shared" si="10"/>
        <v>0</v>
      </c>
      <c r="P58" s="70"/>
      <c r="Q58" s="71"/>
      <c r="R58" s="96"/>
      <c r="S58" s="73"/>
      <c r="T58" s="73"/>
      <c r="U58" s="73"/>
      <c r="V58" s="74"/>
      <c r="W58" s="74" t="b">
        <v>0</v>
      </c>
      <c r="X58" s="74" t="b">
        <v>0</v>
      </c>
      <c r="Y58" s="74" t="b">
        <v>0</v>
      </c>
      <c r="Z58" s="75" t="str">
        <f>IFERROR(__xludf.DUMMYFUNCTION("""COMPUTED_VALUE"""),"")</f>
        <v/>
      </c>
      <c r="AA58" s="75" t="str">
        <f>IFERROR(__xludf.DUMMYFUNCTION("""COMPUTED_VALUE"""),"")</f>
        <v/>
      </c>
      <c r="AB58" s="76" t="str">
        <f>IFERROR(__xludf.DUMMYFUNCTION("""COMPUTED_VALUE"""),"")</f>
        <v/>
      </c>
      <c r="AC58" s="75"/>
      <c r="AD58" s="75"/>
      <c r="AE58" s="55"/>
      <c r="AF58" s="55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ht="14.25" customHeight="1">
      <c r="A59" s="74"/>
      <c r="B59" s="97"/>
      <c r="C59" s="105"/>
      <c r="D59" s="59"/>
      <c r="E59" s="93"/>
      <c r="F59" s="121"/>
      <c r="G59" s="99"/>
      <c r="H59" s="100"/>
      <c r="I59" s="120"/>
      <c r="J59" s="100"/>
      <c r="K59" s="92"/>
      <c r="L59" s="102"/>
      <c r="M59" s="106"/>
      <c r="N59" s="107"/>
      <c r="O59" s="69">
        <f t="shared" si="10"/>
        <v>0</v>
      </c>
      <c r="P59" s="70"/>
      <c r="Q59" s="71"/>
      <c r="R59" s="96"/>
      <c r="S59" s="73"/>
      <c r="T59" s="73"/>
      <c r="U59" s="73"/>
      <c r="V59" s="74"/>
      <c r="W59" s="74" t="b">
        <v>0</v>
      </c>
      <c r="X59" s="74" t="b">
        <v>0</v>
      </c>
      <c r="Y59" s="74" t="b">
        <v>0</v>
      </c>
      <c r="Z59" s="75" t="str">
        <f>IFERROR(__xludf.DUMMYFUNCTION("""COMPUTED_VALUE"""),"")</f>
        <v/>
      </c>
      <c r="AA59" s="75" t="str">
        <f>IFERROR(__xludf.DUMMYFUNCTION("""COMPUTED_VALUE"""),"")</f>
        <v/>
      </c>
      <c r="AB59" s="76" t="str">
        <f>IFERROR(__xludf.DUMMYFUNCTION("""COMPUTED_VALUE"""),"")</f>
        <v/>
      </c>
      <c r="AC59" s="75"/>
      <c r="AD59" s="75"/>
      <c r="AE59" s="55"/>
      <c r="AF59" s="55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ht="14.25" customHeight="1">
      <c r="A60" s="74"/>
      <c r="B60" s="97"/>
      <c r="C60" s="105"/>
      <c r="D60" s="59"/>
      <c r="E60" s="93"/>
      <c r="F60" s="121"/>
      <c r="G60" s="99"/>
      <c r="H60" s="100"/>
      <c r="I60" s="120"/>
      <c r="J60" s="100"/>
      <c r="K60" s="92"/>
      <c r="L60" s="102"/>
      <c r="M60" s="106"/>
      <c r="N60" s="107"/>
      <c r="O60" s="69">
        <f t="shared" si="10"/>
        <v>0</v>
      </c>
      <c r="P60" s="70"/>
      <c r="Q60" s="71"/>
      <c r="R60" s="96"/>
      <c r="S60" s="122"/>
      <c r="T60" s="122"/>
      <c r="U60" s="122"/>
      <c r="V60" s="74"/>
      <c r="W60" s="74" t="b">
        <v>0</v>
      </c>
      <c r="X60" s="74" t="b">
        <v>0</v>
      </c>
      <c r="Y60" s="74" t="b">
        <v>0</v>
      </c>
      <c r="Z60" s="75" t="str">
        <f>IFERROR(__xludf.DUMMYFUNCTION("""COMPUTED_VALUE"""),"")</f>
        <v/>
      </c>
      <c r="AA60" s="75" t="str">
        <f>IFERROR(__xludf.DUMMYFUNCTION("""COMPUTED_VALUE"""),"")</f>
        <v/>
      </c>
      <c r="AB60" s="76" t="str">
        <f>IFERROR(__xludf.DUMMYFUNCTION("""COMPUTED_VALUE"""),"")</f>
        <v/>
      </c>
      <c r="AC60" s="75"/>
      <c r="AD60" s="75"/>
      <c r="AE60" s="55"/>
      <c r="AF60" s="55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ht="14.25" customHeight="1">
      <c r="A61" s="74"/>
      <c r="B61" s="97"/>
      <c r="C61" s="105"/>
      <c r="D61" s="114"/>
      <c r="E61" s="93"/>
      <c r="F61" s="121"/>
      <c r="G61" s="99"/>
      <c r="H61" s="100"/>
      <c r="I61" s="64"/>
      <c r="J61" s="100"/>
      <c r="K61" s="92"/>
      <c r="L61" s="102"/>
      <c r="M61" s="106"/>
      <c r="N61" s="107"/>
      <c r="O61" s="69">
        <f t="shared" si="10"/>
        <v>0</v>
      </c>
      <c r="P61" s="70"/>
      <c r="Q61" s="71"/>
      <c r="R61" s="96"/>
      <c r="S61" s="122"/>
      <c r="T61" s="122"/>
      <c r="U61" s="122"/>
      <c r="V61" s="74"/>
      <c r="W61" s="74" t="b">
        <v>0</v>
      </c>
      <c r="X61" s="74" t="b">
        <v>0</v>
      </c>
      <c r="Y61" s="74" t="b">
        <v>1</v>
      </c>
      <c r="Z61" s="75" t="str">
        <f>IFERROR(__xludf.DUMMYFUNCTION("""COMPUTED_VALUE"""),"")</f>
        <v/>
      </c>
      <c r="AA61" s="75" t="str">
        <f>IFERROR(__xludf.DUMMYFUNCTION("""COMPUTED_VALUE"""),"")</f>
        <v/>
      </c>
      <c r="AB61" s="76" t="str">
        <f>IFERROR(__xludf.DUMMYFUNCTION("""COMPUTED_VALUE"""),"")</f>
        <v/>
      </c>
      <c r="AC61" s="75"/>
      <c r="AD61" s="75"/>
      <c r="AE61" s="55"/>
      <c r="AF61" s="55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4.25" customHeight="1">
      <c r="A62" s="74"/>
      <c r="B62" s="97"/>
      <c r="C62" s="105"/>
      <c r="D62" s="59"/>
      <c r="E62" s="93"/>
      <c r="F62" s="121"/>
      <c r="G62" s="99"/>
      <c r="H62" s="100"/>
      <c r="I62" s="64"/>
      <c r="J62" s="100"/>
      <c r="K62" s="92"/>
      <c r="L62" s="102"/>
      <c r="M62" s="103"/>
      <c r="N62" s="104"/>
      <c r="O62" s="69">
        <f t="shared" si="10"/>
        <v>0</v>
      </c>
      <c r="P62" s="123"/>
      <c r="Q62" s="71"/>
      <c r="R62" s="96"/>
      <c r="S62" s="122"/>
      <c r="T62" s="122"/>
      <c r="U62" s="122"/>
      <c r="V62" s="74"/>
      <c r="W62" s="74" t="b">
        <v>0</v>
      </c>
      <c r="X62" s="74" t="b">
        <v>0</v>
      </c>
      <c r="Y62" s="74" t="b">
        <v>0</v>
      </c>
      <c r="Z62" s="75" t="str">
        <f>IFERROR(__xludf.DUMMYFUNCTION("""COMPUTED_VALUE"""),"")</f>
        <v/>
      </c>
      <c r="AA62" s="75" t="str">
        <f>IFERROR(__xludf.DUMMYFUNCTION("""COMPUTED_VALUE"""),"")</f>
        <v/>
      </c>
      <c r="AB62" s="76" t="str">
        <f>IFERROR(__xludf.DUMMYFUNCTION("""COMPUTED_VALUE"""),"")</f>
        <v/>
      </c>
      <c r="AC62" s="75"/>
      <c r="AD62" s="75"/>
      <c r="AE62" s="55"/>
      <c r="AF62" s="55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ht="14.25" customHeight="1">
      <c r="A63" s="74"/>
      <c r="B63" s="97"/>
      <c r="C63" s="105"/>
      <c r="D63" s="59"/>
      <c r="E63" s="93"/>
      <c r="F63" s="121"/>
      <c r="G63" s="99"/>
      <c r="H63" s="100"/>
      <c r="I63" s="64"/>
      <c r="J63" s="100"/>
      <c r="K63" s="92"/>
      <c r="L63" s="102"/>
      <c r="M63" s="103"/>
      <c r="N63" s="104"/>
      <c r="O63" s="69">
        <f t="shared" si="10"/>
        <v>0</v>
      </c>
      <c r="P63" s="123"/>
      <c r="Q63" s="71"/>
      <c r="R63" s="96"/>
      <c r="S63" s="122"/>
      <c r="T63" s="122"/>
      <c r="U63" s="122"/>
      <c r="V63" s="74"/>
      <c r="W63" s="74" t="b">
        <v>0</v>
      </c>
      <c r="X63" s="74" t="b">
        <v>0</v>
      </c>
      <c r="Y63" s="74" t="b">
        <v>0</v>
      </c>
      <c r="Z63" s="75" t="str">
        <f>IFERROR(__xludf.DUMMYFUNCTION("""COMPUTED_VALUE"""),"")</f>
        <v/>
      </c>
      <c r="AA63" s="75" t="str">
        <f>IFERROR(__xludf.DUMMYFUNCTION("""COMPUTED_VALUE"""),"")</f>
        <v/>
      </c>
      <c r="AB63" s="76" t="str">
        <f>IFERROR(__xludf.DUMMYFUNCTION("""COMPUTED_VALUE"""),"")</f>
        <v/>
      </c>
      <c r="AC63" s="75"/>
      <c r="AD63" s="75"/>
      <c r="AE63" s="55"/>
      <c r="AF63" s="55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4.25" customHeight="1">
      <c r="A64" s="74"/>
      <c r="B64" s="97"/>
      <c r="C64" s="98"/>
      <c r="D64" s="109"/>
      <c r="E64" s="93"/>
      <c r="F64" s="121"/>
      <c r="G64" s="99"/>
      <c r="H64" s="100"/>
      <c r="I64" s="84"/>
      <c r="J64" s="101"/>
      <c r="K64" s="88"/>
      <c r="L64" s="102"/>
      <c r="M64" s="103"/>
      <c r="N64" s="104"/>
      <c r="O64" s="69">
        <f t="shared" si="10"/>
        <v>0</v>
      </c>
      <c r="P64" s="70"/>
      <c r="Q64" s="71"/>
      <c r="R64" s="96"/>
      <c r="S64" s="122"/>
      <c r="T64" s="122"/>
      <c r="U64" s="122"/>
      <c r="V64" s="74"/>
      <c r="W64" s="74" t="b">
        <v>0</v>
      </c>
      <c r="X64" s="74" t="b">
        <v>0</v>
      </c>
      <c r="Y64" s="74" t="b">
        <v>1</v>
      </c>
      <c r="Z64" s="75" t="str">
        <f>IFERROR(__xludf.DUMMYFUNCTION("""COMPUTED_VALUE"""),"")</f>
        <v/>
      </c>
      <c r="AA64" s="75" t="str">
        <f>IFERROR(__xludf.DUMMYFUNCTION("""COMPUTED_VALUE"""),"")</f>
        <v/>
      </c>
      <c r="AB64" s="76" t="str">
        <f>IFERROR(__xludf.DUMMYFUNCTION("""COMPUTED_VALUE"""),"")</f>
        <v/>
      </c>
      <c r="AC64" s="75"/>
      <c r="AD64" s="75"/>
      <c r="AE64" s="55"/>
      <c r="AF64" s="55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ht="14.25" customHeight="1">
      <c r="A65" s="74"/>
      <c r="B65" s="97"/>
      <c r="C65" s="98"/>
      <c r="D65" s="109"/>
      <c r="E65" s="93"/>
      <c r="F65" s="121"/>
      <c r="G65" s="99"/>
      <c r="H65" s="100"/>
      <c r="I65" s="84"/>
      <c r="J65" s="101"/>
      <c r="K65" s="88"/>
      <c r="L65" s="102"/>
      <c r="M65" s="103"/>
      <c r="N65" s="104"/>
      <c r="O65" s="69">
        <f t="shared" si="10"/>
        <v>0</v>
      </c>
      <c r="P65" s="70"/>
      <c r="Q65" s="71"/>
      <c r="R65" s="74"/>
      <c r="S65" s="122"/>
      <c r="T65" s="122"/>
      <c r="U65" s="122"/>
      <c r="V65" s="74"/>
      <c r="W65" s="74" t="b">
        <v>0</v>
      </c>
      <c r="X65" s="74" t="b">
        <v>0</v>
      </c>
      <c r="Y65" s="74" t="b">
        <v>1</v>
      </c>
      <c r="Z65" s="75" t="str">
        <f>IFERROR(__xludf.DUMMYFUNCTION("""COMPUTED_VALUE"""),"")</f>
        <v/>
      </c>
      <c r="AA65" s="75" t="str">
        <f>IFERROR(__xludf.DUMMYFUNCTION("""COMPUTED_VALUE"""),"")</f>
        <v/>
      </c>
      <c r="AB65" s="76" t="str">
        <f>IFERROR(__xludf.DUMMYFUNCTION("""COMPUTED_VALUE"""),"")</f>
        <v/>
      </c>
      <c r="AC65" s="55"/>
      <c r="AD65" s="55"/>
      <c r="AE65" s="55"/>
      <c r="AF65" s="55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14.25" customHeight="1">
      <c r="A66" s="74"/>
      <c r="B66" s="97"/>
      <c r="C66" s="124"/>
      <c r="D66" s="59"/>
      <c r="E66" s="93"/>
      <c r="F66" s="121"/>
      <c r="G66" s="99"/>
      <c r="H66" s="100"/>
      <c r="I66" s="64"/>
      <c r="J66" s="100"/>
      <c r="K66" s="92"/>
      <c r="L66" s="102"/>
      <c r="M66" s="106"/>
      <c r="N66" s="107"/>
      <c r="O66" s="69">
        <f t="shared" si="10"/>
        <v>0</v>
      </c>
      <c r="P66" s="70"/>
      <c r="Q66" s="71"/>
      <c r="R66" s="74"/>
      <c r="S66" s="122"/>
      <c r="T66" s="122"/>
      <c r="U66" s="122"/>
      <c r="V66" s="74"/>
      <c r="W66" s="74" t="b">
        <v>0</v>
      </c>
      <c r="X66" s="74" t="b">
        <v>0</v>
      </c>
      <c r="Y66" s="74" t="b">
        <v>0</v>
      </c>
      <c r="Z66" s="75" t="str">
        <f>IFERROR(__xludf.DUMMYFUNCTION("""COMPUTED_VALUE"""),"")</f>
        <v/>
      </c>
      <c r="AA66" s="75" t="str">
        <f>IFERROR(__xludf.DUMMYFUNCTION("""COMPUTED_VALUE"""),"")</f>
        <v/>
      </c>
      <c r="AB66" s="76" t="str">
        <f>IFERROR(__xludf.DUMMYFUNCTION("""COMPUTED_VALUE"""),"")</f>
        <v/>
      </c>
      <c r="AC66" s="55"/>
      <c r="AD66" s="55"/>
      <c r="AE66" s="55"/>
      <c r="AF66" s="55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ht="14.25" customHeight="1" outlineLevel="1">
      <c r="A67" s="74"/>
      <c r="B67" s="97"/>
      <c r="C67" s="105"/>
      <c r="D67" s="59"/>
      <c r="E67" s="93"/>
      <c r="F67" s="121"/>
      <c r="G67" s="99"/>
      <c r="H67" s="100"/>
      <c r="I67" s="64"/>
      <c r="J67" s="100"/>
      <c r="K67" s="92"/>
      <c r="L67" s="102"/>
      <c r="M67" s="106"/>
      <c r="N67" s="107"/>
      <c r="O67" s="69">
        <f t="shared" si="10"/>
        <v>0</v>
      </c>
      <c r="P67" s="70"/>
      <c r="Q67" s="71"/>
      <c r="R67" s="74"/>
      <c r="S67" s="122"/>
      <c r="T67" s="122"/>
      <c r="U67" s="122"/>
      <c r="V67" s="74"/>
      <c r="W67" s="74" t="b">
        <v>0</v>
      </c>
      <c r="X67" s="74" t="b">
        <v>0</v>
      </c>
      <c r="Y67" s="74" t="b">
        <v>0</v>
      </c>
      <c r="Z67" s="75" t="str">
        <f>IFERROR(__xludf.DUMMYFUNCTION("""COMPUTED_VALUE"""),"")</f>
        <v/>
      </c>
      <c r="AA67" s="75" t="str">
        <f>IFERROR(__xludf.DUMMYFUNCTION("""COMPUTED_VALUE"""),"")</f>
        <v/>
      </c>
      <c r="AB67" s="76" t="str">
        <f>IFERROR(__xludf.DUMMYFUNCTION("""COMPUTED_VALUE"""),"")</f>
        <v/>
      </c>
      <c r="AC67" s="55"/>
      <c r="AD67" s="55"/>
      <c r="AE67" s="55"/>
      <c r="AF67" s="55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ht="14.25" customHeight="1" outlineLevel="1">
      <c r="A68" s="74"/>
      <c r="B68" s="97"/>
      <c r="C68" s="105"/>
      <c r="D68" s="59"/>
      <c r="E68" s="93"/>
      <c r="F68" s="121"/>
      <c r="G68" s="99"/>
      <c r="H68" s="100"/>
      <c r="I68" s="64"/>
      <c r="J68" s="100"/>
      <c r="K68" s="92"/>
      <c r="L68" s="102"/>
      <c r="M68" s="106"/>
      <c r="N68" s="107"/>
      <c r="O68" s="69">
        <f t="shared" si="10"/>
        <v>0</v>
      </c>
      <c r="P68" s="70"/>
      <c r="Q68" s="71"/>
      <c r="R68" s="74"/>
      <c r="S68" s="122"/>
      <c r="T68" s="122"/>
      <c r="U68" s="122"/>
      <c r="V68" s="74"/>
      <c r="W68" s="74" t="b">
        <v>0</v>
      </c>
      <c r="X68" s="74" t="b">
        <v>0</v>
      </c>
      <c r="Y68" s="74" t="b">
        <v>0</v>
      </c>
      <c r="Z68" s="75" t="str">
        <f>IFERROR(__xludf.DUMMYFUNCTION("""COMPUTED_VALUE"""),"")</f>
        <v/>
      </c>
      <c r="AA68" s="75" t="str">
        <f>IFERROR(__xludf.DUMMYFUNCTION("""COMPUTED_VALUE"""),"")</f>
        <v/>
      </c>
      <c r="AB68" s="76" t="str">
        <f>IFERROR(__xludf.DUMMYFUNCTION("""COMPUTED_VALUE"""),"")</f>
        <v/>
      </c>
      <c r="AC68" s="55"/>
      <c r="AD68" s="55"/>
      <c r="AE68" s="55"/>
      <c r="AF68" s="55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ht="14.25" customHeight="1" outlineLevel="1">
      <c r="A69" s="74"/>
      <c r="B69" s="97"/>
      <c r="C69" s="105"/>
      <c r="D69" s="59"/>
      <c r="E69" s="93"/>
      <c r="F69" s="121"/>
      <c r="G69" s="110"/>
      <c r="H69" s="100"/>
      <c r="I69" s="64"/>
      <c r="J69" s="100"/>
      <c r="K69" s="92"/>
      <c r="L69" s="102"/>
      <c r="M69" s="106"/>
      <c r="N69" s="107"/>
      <c r="O69" s="69">
        <f t="shared" si="10"/>
        <v>0</v>
      </c>
      <c r="P69" s="70"/>
      <c r="Q69" s="71"/>
      <c r="R69" s="74"/>
      <c r="S69" s="122"/>
      <c r="T69" s="122"/>
      <c r="U69" s="122"/>
      <c r="V69" s="74"/>
      <c r="W69" s="74" t="b">
        <v>0</v>
      </c>
      <c r="X69" s="74" t="b">
        <v>0</v>
      </c>
      <c r="Y69" s="74" t="b">
        <v>0</v>
      </c>
      <c r="Z69" s="75" t="str">
        <f>IFERROR(__xludf.DUMMYFUNCTION("""COMPUTED_VALUE"""),"")</f>
        <v/>
      </c>
      <c r="AA69" s="75" t="str">
        <f>IFERROR(__xludf.DUMMYFUNCTION("""COMPUTED_VALUE"""),"")</f>
        <v/>
      </c>
      <c r="AB69" s="76" t="str">
        <f>IFERROR(__xludf.DUMMYFUNCTION("""COMPUTED_VALUE"""),"")</f>
        <v/>
      </c>
      <c r="AC69" s="55"/>
      <c r="AD69" s="55"/>
      <c r="AE69" s="55"/>
      <c r="AF69" s="55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ht="14.25" customHeight="1" outlineLevel="1">
      <c r="A70" s="74"/>
      <c r="B70" s="97"/>
      <c r="C70" s="105"/>
      <c r="D70" s="59"/>
      <c r="E70" s="93"/>
      <c r="F70" s="121"/>
      <c r="G70" s="99"/>
      <c r="H70" s="100"/>
      <c r="I70" s="64"/>
      <c r="J70" s="100"/>
      <c r="K70" s="92"/>
      <c r="L70" s="102"/>
      <c r="M70" s="106"/>
      <c r="N70" s="107"/>
      <c r="O70" s="69">
        <f t="shared" si="10"/>
        <v>0</v>
      </c>
      <c r="P70" s="70"/>
      <c r="Q70" s="71"/>
      <c r="R70" s="74"/>
      <c r="S70" s="122"/>
      <c r="T70" s="122"/>
      <c r="U70" s="122"/>
      <c r="V70" s="74"/>
      <c r="W70" s="74" t="b">
        <v>0</v>
      </c>
      <c r="X70" s="74" t="b">
        <v>0</v>
      </c>
      <c r="Y70" s="74" t="b">
        <v>0</v>
      </c>
      <c r="Z70" s="75" t="str">
        <f>IFERROR(__xludf.DUMMYFUNCTION("""COMPUTED_VALUE"""),"")</f>
        <v/>
      </c>
      <c r="AA70" s="75" t="str">
        <f>IFERROR(__xludf.DUMMYFUNCTION("""COMPUTED_VALUE"""),"")</f>
        <v/>
      </c>
      <c r="AB70" s="76" t="str">
        <f>IFERROR(__xludf.DUMMYFUNCTION("""COMPUTED_VALUE"""),"")</f>
        <v/>
      </c>
      <c r="AC70" s="55"/>
      <c r="AD70" s="55"/>
      <c r="AE70" s="55"/>
      <c r="AF70" s="55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ht="14.25" customHeight="1" outlineLevel="1">
      <c r="A71" s="74"/>
      <c r="B71" s="97"/>
      <c r="C71" s="98"/>
      <c r="D71" s="109"/>
      <c r="E71" s="93"/>
      <c r="F71" s="121"/>
      <c r="G71" s="99"/>
      <c r="H71" s="100"/>
      <c r="I71" s="64"/>
      <c r="J71" s="101"/>
      <c r="K71" s="88"/>
      <c r="L71" s="102"/>
      <c r="M71" s="103"/>
      <c r="N71" s="104"/>
      <c r="O71" s="69">
        <f t="shared" si="10"/>
        <v>0</v>
      </c>
      <c r="P71" s="70"/>
      <c r="Q71" s="71"/>
      <c r="R71" s="74"/>
      <c r="S71" s="122"/>
      <c r="T71" s="122"/>
      <c r="U71" s="122"/>
      <c r="V71" s="74"/>
      <c r="W71" s="74" t="b">
        <v>0</v>
      </c>
      <c r="X71" s="74" t="b">
        <v>0</v>
      </c>
      <c r="Y71" s="74" t="b">
        <v>0</v>
      </c>
      <c r="Z71" s="75" t="str">
        <f>IFERROR(__xludf.DUMMYFUNCTION("""COMPUTED_VALUE"""),"")</f>
        <v/>
      </c>
      <c r="AA71" s="75" t="str">
        <f>IFERROR(__xludf.DUMMYFUNCTION("""COMPUTED_VALUE"""),"")</f>
        <v/>
      </c>
      <c r="AB71" s="76" t="str">
        <f>IFERROR(__xludf.DUMMYFUNCTION("""COMPUTED_VALUE"""),"")</f>
        <v/>
      </c>
      <c r="AC71" s="55"/>
      <c r="AD71" s="55"/>
      <c r="AE71" s="55"/>
      <c r="AF71" s="55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ht="14.25" customHeight="1" outlineLevel="1">
      <c r="A72" s="74"/>
      <c r="B72" s="97"/>
      <c r="C72" s="105"/>
      <c r="D72" s="117"/>
      <c r="E72" s="93"/>
      <c r="F72" s="121"/>
      <c r="G72" s="99"/>
      <c r="H72" s="100"/>
      <c r="I72" s="63"/>
      <c r="J72" s="101"/>
      <c r="K72" s="88"/>
      <c r="L72" s="102"/>
      <c r="M72" s="88"/>
      <c r="N72" s="107"/>
      <c r="O72" s="69">
        <f t="shared" si="10"/>
        <v>0</v>
      </c>
      <c r="P72" s="83"/>
      <c r="Q72" s="71"/>
      <c r="R72" s="74"/>
      <c r="S72" s="122"/>
      <c r="T72" s="122"/>
      <c r="U72" s="122"/>
      <c r="V72" s="74"/>
      <c r="W72" s="126"/>
      <c r="X72" s="126"/>
      <c r="Y72" s="126"/>
      <c r="Z72" s="75" t="str">
        <f>IFERROR(__xludf.DUMMYFUNCTION("""COMPUTED_VALUE"""),"")</f>
        <v/>
      </c>
      <c r="AA72" s="75" t="str">
        <f>IFERROR(__xludf.DUMMYFUNCTION("""COMPUTED_VALUE"""),"")</f>
        <v/>
      </c>
      <c r="AB72" s="76" t="str">
        <f>IFERROR(__xludf.DUMMYFUNCTION("""COMPUTED_VALUE"""),"")</f>
        <v/>
      </c>
      <c r="AC72" s="55"/>
      <c r="AD72" s="55"/>
      <c r="AE72" s="55"/>
      <c r="AF72" s="55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ht="18.75" customHeight="1">
      <c r="A73" s="48"/>
      <c r="B73" s="49"/>
      <c r="C73" s="50"/>
      <c r="D73" s="128"/>
      <c r="E73" s="51"/>
      <c r="F73" s="52"/>
      <c r="G73" s="48" t="s">
        <v>142</v>
      </c>
      <c r="H73" s="53"/>
      <c r="I73" s="53">
        <f>SUM(I12:I72)</f>
        <v>29</v>
      </c>
      <c r="J73" s="53"/>
      <c r="K73" s="48"/>
      <c r="L73" s="53"/>
      <c r="M73" s="53"/>
      <c r="N73" s="53"/>
      <c r="O73" s="53"/>
      <c r="P73" s="50"/>
      <c r="Q73" s="50"/>
      <c r="R73" s="53"/>
      <c r="S73" s="54"/>
      <c r="T73" s="54"/>
      <c r="U73" s="54"/>
      <c r="V73" s="50"/>
      <c r="W73" s="50"/>
      <c r="X73" s="50"/>
      <c r="Y73" s="50"/>
      <c r="Z73" s="55" t="str">
        <f>IFERROR(__xludf.DUMMYFUNCTION("""COMPUTED_VALUE"""),"")</f>
        <v/>
      </c>
      <c r="AA73" s="55" t="str">
        <f>IFERROR(__xludf.DUMMYFUNCTION("""COMPUTED_VALUE"""),"")</f>
        <v/>
      </c>
      <c r="AB73" s="55" t="str">
        <f>IFERROR(__xludf.DUMMYFUNCTION("""COMPUTED_VALUE"""),"")</f>
        <v/>
      </c>
      <c r="AC73" s="55"/>
      <c r="AD73" s="55"/>
      <c r="AE73" s="55"/>
      <c r="AF73" s="55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52.5" customHeight="1">
      <c r="A74" s="129"/>
      <c r="B74" s="129"/>
      <c r="C74" s="105"/>
      <c r="D74" s="78"/>
      <c r="E74" s="93"/>
      <c r="F74" s="121"/>
      <c r="G74" s="130"/>
      <c r="H74" s="107"/>
      <c r="I74" s="107"/>
      <c r="J74" s="107"/>
      <c r="K74" s="107"/>
      <c r="L74" s="107"/>
      <c r="M74" s="107"/>
      <c r="N74" s="107"/>
      <c r="O74" s="69"/>
      <c r="P74" s="131"/>
      <c r="Q74" s="131"/>
      <c r="R74" s="131"/>
      <c r="S74" s="116"/>
      <c r="T74" s="116"/>
      <c r="U74" s="116"/>
      <c r="V74" s="116"/>
      <c r="W74" s="131"/>
      <c r="X74" s="131"/>
      <c r="Y74" s="131"/>
      <c r="Z74" s="55" t="str">
        <f>IFERROR(__xludf.DUMMYFUNCTION("""COMPUTED_VALUE"""),"")</f>
        <v/>
      </c>
      <c r="AA74" s="55" t="str">
        <f>IFERROR(__xludf.DUMMYFUNCTION("""COMPUTED_VALUE"""),"")</f>
        <v/>
      </c>
      <c r="AB74" s="55" t="str">
        <f>IFERROR(__xludf.DUMMYFUNCTION("""COMPUTED_VALUE"""),"")</f>
        <v/>
      </c>
      <c r="AC74" s="55"/>
      <c r="AD74" s="55"/>
      <c r="AE74" s="55"/>
      <c r="AF74" s="55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48.75" customHeight="1">
      <c r="A75" s="132" t="s">
        <v>16</v>
      </c>
      <c r="B75" s="49" t="s">
        <v>17</v>
      </c>
      <c r="C75" s="50" t="s">
        <v>18</v>
      </c>
      <c r="D75" s="50" t="s">
        <v>19</v>
      </c>
      <c r="E75" s="51" t="s">
        <v>20</v>
      </c>
      <c r="F75" s="52" t="s">
        <v>21</v>
      </c>
      <c r="G75" s="48" t="s">
        <v>143</v>
      </c>
      <c r="H75" s="53" t="s">
        <v>23</v>
      </c>
      <c r="I75" s="53" t="s">
        <v>24</v>
      </c>
      <c r="J75" s="53" t="s">
        <v>3</v>
      </c>
      <c r="K75" s="48" t="s">
        <v>4</v>
      </c>
      <c r="L75" s="53" t="s">
        <v>5</v>
      </c>
      <c r="M75" s="53" t="s">
        <v>6</v>
      </c>
      <c r="N75" s="53" t="s">
        <v>7</v>
      </c>
      <c r="O75" s="53" t="s">
        <v>8</v>
      </c>
      <c r="P75" s="50" t="s">
        <v>13</v>
      </c>
      <c r="Q75" s="50" t="s">
        <v>145</v>
      </c>
      <c r="R75" s="50" t="s">
        <v>13</v>
      </c>
      <c r="S75" s="133" t="s">
        <v>146</v>
      </c>
      <c r="T75" s="54" t="s">
        <v>147</v>
      </c>
      <c r="U75" s="54" t="s">
        <v>148</v>
      </c>
      <c r="V75" s="50" t="s">
        <v>28</v>
      </c>
      <c r="W75" s="50" t="s">
        <v>29</v>
      </c>
      <c r="X75" s="50" t="s">
        <v>30</v>
      </c>
      <c r="Y75" s="50" t="s">
        <v>31</v>
      </c>
      <c r="Z75" s="55" t="str">
        <f>IFERROR(__xludf.DUMMYFUNCTION("""COMPUTED_VALUE"""),"#REF!")</f>
        <v>#REF!</v>
      </c>
      <c r="AA75" s="55" t="str">
        <f>IFERROR(__xludf.DUMMYFUNCTION("""COMPUTED_VALUE"""),"#REF!")</f>
        <v>#REF!</v>
      </c>
      <c r="AB75" s="55" t="str">
        <f>IFERROR(__xludf.DUMMYFUNCTION("""COMPUTED_VALUE"""),"#REF!")</f>
        <v>#REF!</v>
      </c>
      <c r="AC75" s="55"/>
      <c r="AD75" s="55"/>
      <c r="AE75" s="55"/>
      <c r="AF75" s="55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4.25" customHeight="1">
      <c r="A76" s="152" t="s">
        <v>13</v>
      </c>
      <c r="B76" s="135" t="s">
        <v>847</v>
      </c>
      <c r="C76" s="77">
        <v>46113.0</v>
      </c>
      <c r="D76" s="166">
        <v>109620.0</v>
      </c>
      <c r="E76" s="60">
        <v>26.10486</v>
      </c>
      <c r="F76" s="60">
        <v>26.35657</v>
      </c>
      <c r="G76" s="62" t="s">
        <v>848</v>
      </c>
      <c r="H76" s="154" t="s">
        <v>304</v>
      </c>
      <c r="I76" s="138">
        <v>1.0</v>
      </c>
      <c r="J76" s="79">
        <v>17.36</v>
      </c>
      <c r="K76" s="80" t="s">
        <v>126</v>
      </c>
      <c r="L76" s="66" t="s">
        <v>849</v>
      </c>
      <c r="M76" s="81">
        <v>1.0</v>
      </c>
      <c r="N76" s="150">
        <v>0.003</v>
      </c>
      <c r="O76" s="69">
        <v>17.3594</v>
      </c>
      <c r="P76" s="151" t="s">
        <v>153</v>
      </c>
      <c r="Q76" s="143" t="s">
        <v>154</v>
      </c>
      <c r="R76" s="74" t="s">
        <v>850</v>
      </c>
      <c r="S76" s="145"/>
      <c r="T76" s="146">
        <f t="shared" ref="T76:T298" si="11">U76*60%</f>
        <v>1242</v>
      </c>
      <c r="U76" s="146">
        <f>round((O76*119)+(550*N76),-1)</f>
        <v>2070</v>
      </c>
      <c r="V76" s="147" t="s">
        <v>38</v>
      </c>
      <c r="W76" s="74" t="b">
        <v>0</v>
      </c>
      <c r="X76" s="74" t="b">
        <v>0</v>
      </c>
      <c r="Y76" s="74" t="b">
        <v>1</v>
      </c>
      <c r="Z76" s="148" t="str">
        <f>IFERROR(__xludf.DUMMYFUNCTION("""COMPUTED_VALUE"""),"#REF!")</f>
        <v>#REF!</v>
      </c>
      <c r="AA76" s="148" t="str">
        <f>IFERROR(__xludf.DUMMYFUNCTION("""COMPUTED_VALUE"""),"#REF!")</f>
        <v>#REF!</v>
      </c>
      <c r="AB76" s="148" t="str">
        <f>IFERROR(__xludf.DUMMYFUNCTION("""COMPUTED_VALUE"""),"#REF!")</f>
        <v>#REF!</v>
      </c>
      <c r="AC76" s="148"/>
      <c r="AD76" s="153">
        <f t="array" ref="AD76:AD299">C76:C299</f>
        <v>46113</v>
      </c>
      <c r="AE76" s="148"/>
      <c r="AF76" s="148">
        <f t="array" ref="AF76:AF299">D76:D299</f>
        <v>109620</v>
      </c>
      <c r="AG76" s="148" t="str">
        <f t="array" ref="AG76:AG299">"SO" &amp;E76:E299&amp;"-MO"&amp;F76:F299</f>
        <v>SO26.10486-MO26.35657</v>
      </c>
      <c r="AH76" s="148"/>
      <c r="AI76" s="148" t="str">
        <f t="array" ref="AI76:AI299">G76:G299</f>
        <v>DIAPD: 24K 1RD/0.003cts 17.36gr P11339 </v>
      </c>
      <c r="AJ76" s="148" t="str">
        <f t="array" ref="AJ76:AK299">Z76:AA299</f>
        <v>#REF!</v>
      </c>
      <c r="AK76" s="148" t="e">
        <v>#REF!</v>
      </c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</row>
    <row r="77" ht="14.25" customHeight="1">
      <c r="A77" s="152" t="s">
        <v>13</v>
      </c>
      <c r="B77" s="135" t="s">
        <v>847</v>
      </c>
      <c r="C77" s="77">
        <v>46113.0</v>
      </c>
      <c r="D77" s="166">
        <v>109621.0</v>
      </c>
      <c r="E77" s="60">
        <v>26.10493</v>
      </c>
      <c r="F77" s="60">
        <v>26.35679</v>
      </c>
      <c r="G77" s="62" t="s">
        <v>851</v>
      </c>
      <c r="H77" s="63" t="s">
        <v>34</v>
      </c>
      <c r="I77" s="138">
        <v>1.0</v>
      </c>
      <c r="J77" s="79">
        <v>11.05</v>
      </c>
      <c r="K77" s="80" t="s">
        <v>160</v>
      </c>
      <c r="L77" s="66" t="s">
        <v>852</v>
      </c>
      <c r="M77" s="81"/>
      <c r="N77" s="150"/>
      <c r="O77" s="69">
        <v>11.05</v>
      </c>
      <c r="P77" s="151" t="s">
        <v>162</v>
      </c>
      <c r="Q77" s="143" t="s">
        <v>154</v>
      </c>
      <c r="R77" s="74" t="s">
        <v>853</v>
      </c>
      <c r="S77" s="145"/>
      <c r="T77" s="146">
        <f t="shared" si="11"/>
        <v>588</v>
      </c>
      <c r="U77" s="146">
        <f t="shared" ref="U77:U87" si="12">round((O77*89)+(550*N77),-1)</f>
        <v>980</v>
      </c>
      <c r="V77" s="147" t="s">
        <v>38</v>
      </c>
      <c r="W77" s="74" t="b">
        <v>0</v>
      </c>
      <c r="X77" s="74" t="b">
        <v>0</v>
      </c>
      <c r="Y77" s="74" t="b">
        <v>1</v>
      </c>
      <c r="Z77" s="148" t="str">
        <f>IFERROR(__xludf.DUMMYFUNCTION("""COMPUTED_VALUE"""),"#REF!")</f>
        <v>#REF!</v>
      </c>
      <c r="AA77" s="148" t="str">
        <f>IFERROR(__xludf.DUMMYFUNCTION("""COMPUTED_VALUE"""),"#REF!")</f>
        <v>#REF!</v>
      </c>
      <c r="AB77" s="148" t="str">
        <f>IFERROR(__xludf.DUMMYFUNCTION("""COMPUTED_VALUE"""),"#REF!")</f>
        <v>#REF!</v>
      </c>
      <c r="AC77" s="148"/>
      <c r="AD77" s="153">
        <v>46113.0</v>
      </c>
      <c r="AE77" s="148"/>
      <c r="AF77" s="148">
        <v>109621.0</v>
      </c>
      <c r="AG77" s="148" t="s">
        <v>854</v>
      </c>
      <c r="AH77" s="148"/>
      <c r="AI77" s="148" t="s">
        <v>851</v>
      </c>
      <c r="AJ77" s="148" t="e">
        <v>#REF!</v>
      </c>
      <c r="AK77" s="148" t="e">
        <v>#REF!</v>
      </c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</row>
    <row r="78" ht="14.25" customHeight="1">
      <c r="A78" s="152" t="s">
        <v>13</v>
      </c>
      <c r="B78" s="135" t="s">
        <v>847</v>
      </c>
      <c r="C78" s="77">
        <v>46113.0</v>
      </c>
      <c r="D78" s="166">
        <v>109622.0</v>
      </c>
      <c r="E78" s="60">
        <v>26.10493</v>
      </c>
      <c r="F78" s="60">
        <v>26.3568</v>
      </c>
      <c r="G78" s="62" t="s">
        <v>855</v>
      </c>
      <c r="H78" s="63" t="s">
        <v>34</v>
      </c>
      <c r="I78" s="138">
        <v>1.0</v>
      </c>
      <c r="J78" s="79">
        <v>11.18</v>
      </c>
      <c r="K78" s="80" t="s">
        <v>160</v>
      </c>
      <c r="L78" s="66" t="s">
        <v>856</v>
      </c>
      <c r="M78" s="81"/>
      <c r="N78" s="150"/>
      <c r="O78" s="69">
        <v>11.18</v>
      </c>
      <c r="P78" s="151" t="s">
        <v>162</v>
      </c>
      <c r="Q78" s="143" t="s">
        <v>154</v>
      </c>
      <c r="R78" s="74" t="s">
        <v>853</v>
      </c>
      <c r="S78" s="145"/>
      <c r="T78" s="146">
        <f t="shared" si="11"/>
        <v>600</v>
      </c>
      <c r="U78" s="146">
        <f t="shared" si="12"/>
        <v>1000</v>
      </c>
      <c r="V78" s="147" t="s">
        <v>38</v>
      </c>
      <c r="W78" s="74" t="b">
        <v>0</v>
      </c>
      <c r="X78" s="74" t="b">
        <v>0</v>
      </c>
      <c r="Y78" s="74" t="b">
        <v>1</v>
      </c>
      <c r="Z78" s="148" t="str">
        <f>IFERROR(__xludf.DUMMYFUNCTION("""COMPUTED_VALUE"""),"#REF!")</f>
        <v>#REF!</v>
      </c>
      <c r="AA78" s="148" t="str">
        <f>IFERROR(__xludf.DUMMYFUNCTION("""COMPUTED_VALUE"""),"#REF!")</f>
        <v>#REF!</v>
      </c>
      <c r="AB78" s="148" t="str">
        <f>IFERROR(__xludf.DUMMYFUNCTION("""COMPUTED_VALUE"""),"#REF!")</f>
        <v>#REF!</v>
      </c>
      <c r="AC78" s="148"/>
      <c r="AD78" s="153">
        <v>46113.0</v>
      </c>
      <c r="AE78" s="148"/>
      <c r="AF78" s="148">
        <v>109622.0</v>
      </c>
      <c r="AG78" s="148" t="s">
        <v>857</v>
      </c>
      <c r="AH78" s="148"/>
      <c r="AI78" s="148" t="s">
        <v>855</v>
      </c>
      <c r="AJ78" s="148" t="e">
        <v>#REF!</v>
      </c>
      <c r="AK78" s="148" t="e">
        <v>#REF!</v>
      </c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</row>
    <row r="79" ht="14.25" customHeight="1">
      <c r="A79" s="152" t="s">
        <v>13</v>
      </c>
      <c r="B79" s="135" t="s">
        <v>847</v>
      </c>
      <c r="C79" s="77">
        <v>46113.0</v>
      </c>
      <c r="D79" s="166">
        <v>109623.0</v>
      </c>
      <c r="E79" s="60">
        <v>26.10493</v>
      </c>
      <c r="F79" s="60">
        <v>26.35685</v>
      </c>
      <c r="G79" s="62" t="s">
        <v>858</v>
      </c>
      <c r="H79" s="63" t="s">
        <v>34</v>
      </c>
      <c r="I79" s="138">
        <v>1.0</v>
      </c>
      <c r="J79" s="79">
        <v>19.02</v>
      </c>
      <c r="K79" s="80" t="s">
        <v>160</v>
      </c>
      <c r="L79" s="66" t="s">
        <v>859</v>
      </c>
      <c r="M79" s="81"/>
      <c r="N79" s="150"/>
      <c r="O79" s="69">
        <v>19.02</v>
      </c>
      <c r="P79" s="151" t="s">
        <v>162</v>
      </c>
      <c r="Q79" s="143" t="s">
        <v>154</v>
      </c>
      <c r="R79" s="74" t="s">
        <v>853</v>
      </c>
      <c r="S79" s="145"/>
      <c r="T79" s="146">
        <f t="shared" si="11"/>
        <v>1014</v>
      </c>
      <c r="U79" s="146">
        <f t="shared" si="12"/>
        <v>1690</v>
      </c>
      <c r="V79" s="147" t="s">
        <v>38</v>
      </c>
      <c r="W79" s="74" t="b">
        <v>0</v>
      </c>
      <c r="X79" s="74" t="b">
        <v>0</v>
      </c>
      <c r="Y79" s="74" t="b">
        <v>1</v>
      </c>
      <c r="Z79" s="148" t="str">
        <f>IFERROR(__xludf.DUMMYFUNCTION("""COMPUTED_VALUE"""),"#REF!")</f>
        <v>#REF!</v>
      </c>
      <c r="AA79" s="148" t="str">
        <f>IFERROR(__xludf.DUMMYFUNCTION("""COMPUTED_VALUE"""),"#REF!")</f>
        <v>#REF!</v>
      </c>
      <c r="AB79" s="148" t="str">
        <f>IFERROR(__xludf.DUMMYFUNCTION("""COMPUTED_VALUE"""),"#REF!")</f>
        <v>#REF!</v>
      </c>
      <c r="AC79" s="148"/>
      <c r="AD79" s="153">
        <v>46113.0</v>
      </c>
      <c r="AE79" s="148"/>
      <c r="AF79" s="148">
        <v>109623.0</v>
      </c>
      <c r="AG79" s="148" t="s">
        <v>860</v>
      </c>
      <c r="AH79" s="148"/>
      <c r="AI79" s="148" t="s">
        <v>858</v>
      </c>
      <c r="AJ79" s="148" t="e">
        <v>#REF!</v>
      </c>
      <c r="AK79" s="148" t="e">
        <v>#REF!</v>
      </c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</row>
    <row r="80" ht="14.25" customHeight="1">
      <c r="A80" s="152" t="s">
        <v>13</v>
      </c>
      <c r="B80" s="135" t="s">
        <v>847</v>
      </c>
      <c r="C80" s="77">
        <v>46113.0</v>
      </c>
      <c r="D80" s="166">
        <v>109624.0</v>
      </c>
      <c r="E80" s="60">
        <v>25.1009</v>
      </c>
      <c r="F80" s="60">
        <v>25.34401</v>
      </c>
      <c r="G80" s="62" t="s">
        <v>861</v>
      </c>
      <c r="H80" s="63" t="s">
        <v>34</v>
      </c>
      <c r="I80" s="138">
        <v>1.0</v>
      </c>
      <c r="J80" s="79">
        <v>3.49</v>
      </c>
      <c r="K80" s="80" t="s">
        <v>177</v>
      </c>
      <c r="L80" s="66" t="s">
        <v>862</v>
      </c>
      <c r="M80" s="81"/>
      <c r="N80" s="150"/>
      <c r="O80" s="69">
        <v>3.49</v>
      </c>
      <c r="P80" s="151" t="s">
        <v>162</v>
      </c>
      <c r="Q80" s="143" t="s">
        <v>154</v>
      </c>
      <c r="R80" s="74" t="s">
        <v>853</v>
      </c>
      <c r="S80" s="145"/>
      <c r="T80" s="146">
        <f t="shared" si="11"/>
        <v>186</v>
      </c>
      <c r="U80" s="146">
        <f t="shared" si="12"/>
        <v>310</v>
      </c>
      <c r="V80" s="147" t="s">
        <v>38</v>
      </c>
      <c r="W80" s="74" t="b">
        <v>0</v>
      </c>
      <c r="X80" s="74" t="b">
        <v>0</v>
      </c>
      <c r="Y80" s="74" t="b">
        <v>1</v>
      </c>
      <c r="Z80" s="148" t="str">
        <f>IFERROR(__xludf.DUMMYFUNCTION("""COMPUTED_VALUE"""),"#REF!")</f>
        <v>#REF!</v>
      </c>
      <c r="AA80" s="148" t="str">
        <f>IFERROR(__xludf.DUMMYFUNCTION("""COMPUTED_VALUE"""),"#REF!")</f>
        <v>#REF!</v>
      </c>
      <c r="AB80" s="148" t="str">
        <f>IFERROR(__xludf.DUMMYFUNCTION("""COMPUTED_VALUE"""),"#REF!")</f>
        <v>#REF!</v>
      </c>
      <c r="AC80" s="148"/>
      <c r="AD80" s="153">
        <v>46113.0</v>
      </c>
      <c r="AE80" s="148"/>
      <c r="AF80" s="148">
        <v>109624.0</v>
      </c>
      <c r="AG80" s="148" t="s">
        <v>863</v>
      </c>
      <c r="AH80" s="148"/>
      <c r="AI80" s="148" t="s">
        <v>861</v>
      </c>
      <c r="AJ80" s="148" t="e">
        <v>#REF!</v>
      </c>
      <c r="AK80" s="148" t="e">
        <v>#REF!</v>
      </c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</row>
    <row r="81" ht="14.25" customHeight="1">
      <c r="A81" s="152" t="s">
        <v>13</v>
      </c>
      <c r="B81" s="135" t="s">
        <v>847</v>
      </c>
      <c r="C81" s="77">
        <v>46113.0</v>
      </c>
      <c r="D81" s="166">
        <v>109625.0</v>
      </c>
      <c r="E81" s="60">
        <v>25.1009</v>
      </c>
      <c r="F81" s="60">
        <v>25.34402</v>
      </c>
      <c r="G81" s="62" t="s">
        <v>864</v>
      </c>
      <c r="H81" s="63" t="s">
        <v>34</v>
      </c>
      <c r="I81" s="138">
        <v>1.0</v>
      </c>
      <c r="J81" s="79">
        <v>3.5</v>
      </c>
      <c r="K81" s="80" t="s">
        <v>177</v>
      </c>
      <c r="L81" s="66" t="s">
        <v>865</v>
      </c>
      <c r="M81" s="81"/>
      <c r="N81" s="150"/>
      <c r="O81" s="69">
        <v>3.5</v>
      </c>
      <c r="P81" s="151" t="s">
        <v>162</v>
      </c>
      <c r="Q81" s="143" t="s">
        <v>154</v>
      </c>
      <c r="R81" s="74" t="s">
        <v>853</v>
      </c>
      <c r="S81" s="145"/>
      <c r="T81" s="146">
        <f t="shared" si="11"/>
        <v>186</v>
      </c>
      <c r="U81" s="146">
        <f t="shared" si="12"/>
        <v>310</v>
      </c>
      <c r="V81" s="147" t="s">
        <v>38</v>
      </c>
      <c r="W81" s="74" t="b">
        <v>0</v>
      </c>
      <c r="X81" s="74" t="b">
        <v>0</v>
      </c>
      <c r="Y81" s="74" t="b">
        <v>1</v>
      </c>
      <c r="Z81" s="148" t="str">
        <f>IFERROR(__xludf.DUMMYFUNCTION("""COMPUTED_VALUE"""),"#REF!")</f>
        <v>#REF!</v>
      </c>
      <c r="AA81" s="148" t="str">
        <f>IFERROR(__xludf.DUMMYFUNCTION("""COMPUTED_VALUE"""),"#REF!")</f>
        <v>#REF!</v>
      </c>
      <c r="AB81" s="148" t="str">
        <f>IFERROR(__xludf.DUMMYFUNCTION("""COMPUTED_VALUE"""),"#REF!")</f>
        <v>#REF!</v>
      </c>
      <c r="AC81" s="148"/>
      <c r="AD81" s="153">
        <v>46113.0</v>
      </c>
      <c r="AE81" s="148"/>
      <c r="AF81" s="148">
        <v>109625.0</v>
      </c>
      <c r="AG81" s="148" t="s">
        <v>866</v>
      </c>
      <c r="AH81" s="148"/>
      <c r="AI81" s="148" t="s">
        <v>864</v>
      </c>
      <c r="AJ81" s="148" t="e">
        <v>#REF!</v>
      </c>
      <c r="AK81" s="148" t="e">
        <v>#REF!</v>
      </c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</row>
    <row r="82" ht="14.25" customHeight="1">
      <c r="A82" s="152" t="s">
        <v>13</v>
      </c>
      <c r="B82" s="135" t="s">
        <v>847</v>
      </c>
      <c r="C82" s="77">
        <v>46113.0</v>
      </c>
      <c r="D82" s="166">
        <v>109626.0</v>
      </c>
      <c r="E82" s="60">
        <v>25.1009</v>
      </c>
      <c r="F82" s="60">
        <v>25.34407</v>
      </c>
      <c r="G82" s="62" t="s">
        <v>867</v>
      </c>
      <c r="H82" s="63" t="s">
        <v>45</v>
      </c>
      <c r="I82" s="138">
        <v>1.0</v>
      </c>
      <c r="J82" s="79">
        <v>3.53</v>
      </c>
      <c r="K82" s="80" t="s">
        <v>177</v>
      </c>
      <c r="L82" s="66" t="s">
        <v>868</v>
      </c>
      <c r="M82" s="81"/>
      <c r="N82" s="150"/>
      <c r="O82" s="69">
        <v>3.53</v>
      </c>
      <c r="P82" s="151" t="s">
        <v>162</v>
      </c>
      <c r="Q82" s="143" t="s">
        <v>154</v>
      </c>
      <c r="R82" s="74" t="s">
        <v>853</v>
      </c>
      <c r="S82" s="145"/>
      <c r="T82" s="146">
        <f t="shared" si="11"/>
        <v>186</v>
      </c>
      <c r="U82" s="146">
        <f t="shared" si="12"/>
        <v>310</v>
      </c>
      <c r="V82" s="147" t="s">
        <v>38</v>
      </c>
      <c r="W82" s="74" t="b">
        <v>0</v>
      </c>
      <c r="X82" s="74" t="b">
        <v>0</v>
      </c>
      <c r="Y82" s="74" t="b">
        <v>1</v>
      </c>
      <c r="Z82" s="148" t="str">
        <f>IFERROR(__xludf.DUMMYFUNCTION("""COMPUTED_VALUE"""),"#REF!")</f>
        <v>#REF!</v>
      </c>
      <c r="AA82" s="148" t="str">
        <f>IFERROR(__xludf.DUMMYFUNCTION("""COMPUTED_VALUE"""),"#REF!")</f>
        <v>#REF!</v>
      </c>
      <c r="AB82" s="148" t="str">
        <f>IFERROR(__xludf.DUMMYFUNCTION("""COMPUTED_VALUE"""),"#REF!")</f>
        <v>#REF!</v>
      </c>
      <c r="AC82" s="148"/>
      <c r="AD82" s="153">
        <v>46113.0</v>
      </c>
      <c r="AE82" s="148"/>
      <c r="AF82" s="148">
        <v>109626.0</v>
      </c>
      <c r="AG82" s="148" t="s">
        <v>869</v>
      </c>
      <c r="AH82" s="148"/>
      <c r="AI82" s="148" t="s">
        <v>867</v>
      </c>
      <c r="AJ82" s="148" t="e">
        <v>#REF!</v>
      </c>
      <c r="AK82" s="148" t="e">
        <v>#REF!</v>
      </c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</row>
    <row r="83" ht="14.25" customHeight="1">
      <c r="A83" s="152" t="s">
        <v>13</v>
      </c>
      <c r="B83" s="135" t="s">
        <v>847</v>
      </c>
      <c r="C83" s="77">
        <v>46113.0</v>
      </c>
      <c r="D83" s="166">
        <v>109627.0</v>
      </c>
      <c r="E83" s="60">
        <v>25.9211</v>
      </c>
      <c r="F83" s="60">
        <v>25.32367</v>
      </c>
      <c r="G83" s="62" t="s">
        <v>870</v>
      </c>
      <c r="H83" s="63" t="s">
        <v>45</v>
      </c>
      <c r="I83" s="138">
        <v>1.0</v>
      </c>
      <c r="J83" s="79">
        <v>3.38</v>
      </c>
      <c r="K83" s="80" t="s">
        <v>177</v>
      </c>
      <c r="L83" s="66" t="s">
        <v>871</v>
      </c>
      <c r="M83" s="81"/>
      <c r="N83" s="150"/>
      <c r="O83" s="69">
        <v>3.38</v>
      </c>
      <c r="P83" s="151" t="s">
        <v>162</v>
      </c>
      <c r="Q83" s="143" t="s">
        <v>154</v>
      </c>
      <c r="R83" s="74" t="s">
        <v>853</v>
      </c>
      <c r="S83" s="145"/>
      <c r="T83" s="146">
        <f t="shared" si="11"/>
        <v>180</v>
      </c>
      <c r="U83" s="146">
        <f t="shared" si="12"/>
        <v>300</v>
      </c>
      <c r="V83" s="147" t="s">
        <v>38</v>
      </c>
      <c r="W83" s="74" t="b">
        <v>0</v>
      </c>
      <c r="X83" s="74" t="b">
        <v>0</v>
      </c>
      <c r="Y83" s="74" t="b">
        <v>1</v>
      </c>
      <c r="Z83" s="148" t="str">
        <f>IFERROR(__xludf.DUMMYFUNCTION("""COMPUTED_VALUE"""),"#REF!")</f>
        <v>#REF!</v>
      </c>
      <c r="AA83" s="148" t="str">
        <f>IFERROR(__xludf.DUMMYFUNCTION("""COMPUTED_VALUE"""),"#REF!")</f>
        <v>#REF!</v>
      </c>
      <c r="AB83" s="148" t="str">
        <f>IFERROR(__xludf.DUMMYFUNCTION("""COMPUTED_VALUE"""),"#REF!")</f>
        <v>#REF!</v>
      </c>
      <c r="AC83" s="148"/>
      <c r="AD83" s="153">
        <v>46113.0</v>
      </c>
      <c r="AE83" s="148"/>
      <c r="AF83" s="148">
        <v>109627.0</v>
      </c>
      <c r="AG83" s="148" t="s">
        <v>872</v>
      </c>
      <c r="AH83" s="148"/>
      <c r="AI83" s="148" t="s">
        <v>870</v>
      </c>
      <c r="AJ83" s="148" t="e">
        <v>#REF!</v>
      </c>
      <c r="AK83" s="148" t="e">
        <v>#REF!</v>
      </c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</row>
    <row r="84" ht="14.25" customHeight="1">
      <c r="A84" s="152" t="s">
        <v>13</v>
      </c>
      <c r="B84" s="135" t="s">
        <v>847</v>
      </c>
      <c r="C84" s="77">
        <v>46113.0</v>
      </c>
      <c r="D84" s="166">
        <v>109628.0</v>
      </c>
      <c r="E84" s="60">
        <v>25.9211</v>
      </c>
      <c r="F84" s="60">
        <v>25.32369</v>
      </c>
      <c r="G84" s="62" t="s">
        <v>873</v>
      </c>
      <c r="H84" s="63" t="s">
        <v>45</v>
      </c>
      <c r="I84" s="138">
        <v>1.0</v>
      </c>
      <c r="J84" s="79">
        <v>3.34</v>
      </c>
      <c r="K84" s="80" t="s">
        <v>177</v>
      </c>
      <c r="L84" s="66" t="s">
        <v>874</v>
      </c>
      <c r="M84" s="81"/>
      <c r="N84" s="150"/>
      <c r="O84" s="69">
        <v>3.34</v>
      </c>
      <c r="P84" s="151" t="s">
        <v>162</v>
      </c>
      <c r="Q84" s="143" t="s">
        <v>154</v>
      </c>
      <c r="R84" s="74" t="s">
        <v>853</v>
      </c>
      <c r="S84" s="145"/>
      <c r="T84" s="146">
        <f t="shared" si="11"/>
        <v>180</v>
      </c>
      <c r="U84" s="146">
        <f t="shared" si="12"/>
        <v>300</v>
      </c>
      <c r="V84" s="147" t="s">
        <v>38</v>
      </c>
      <c r="W84" s="74" t="b">
        <v>0</v>
      </c>
      <c r="X84" s="74" t="b">
        <v>0</v>
      </c>
      <c r="Y84" s="74" t="b">
        <v>1</v>
      </c>
      <c r="Z84" s="148" t="str">
        <f>IFERROR(__xludf.DUMMYFUNCTION("""COMPUTED_VALUE"""),"#REF!")</f>
        <v>#REF!</v>
      </c>
      <c r="AA84" s="148" t="str">
        <f>IFERROR(__xludf.DUMMYFUNCTION("""COMPUTED_VALUE"""),"#REF!")</f>
        <v>#REF!</v>
      </c>
      <c r="AB84" s="148" t="str">
        <f>IFERROR(__xludf.DUMMYFUNCTION("""COMPUTED_VALUE"""),"#REF!")</f>
        <v>#REF!</v>
      </c>
      <c r="AC84" s="148"/>
      <c r="AD84" s="153">
        <v>46113.0</v>
      </c>
      <c r="AE84" s="148"/>
      <c r="AF84" s="148">
        <v>109628.0</v>
      </c>
      <c r="AG84" s="148" t="s">
        <v>875</v>
      </c>
      <c r="AH84" s="148"/>
      <c r="AI84" s="148" t="s">
        <v>873</v>
      </c>
      <c r="AJ84" s="148" t="e">
        <v>#REF!</v>
      </c>
      <c r="AK84" s="148" t="e">
        <v>#REF!</v>
      </c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</row>
    <row r="85" ht="14.25" customHeight="1">
      <c r="A85" s="152" t="s">
        <v>13</v>
      </c>
      <c r="B85" s="135" t="s">
        <v>847</v>
      </c>
      <c r="C85" s="77">
        <v>46113.0</v>
      </c>
      <c r="D85" s="166">
        <v>109629.0</v>
      </c>
      <c r="E85" s="60">
        <v>25.9372</v>
      </c>
      <c r="F85" s="60">
        <v>25.32464</v>
      </c>
      <c r="G85" s="62" t="s">
        <v>876</v>
      </c>
      <c r="H85" s="63" t="s">
        <v>45</v>
      </c>
      <c r="I85" s="138">
        <v>1.0</v>
      </c>
      <c r="J85" s="79">
        <v>3.29</v>
      </c>
      <c r="K85" s="80" t="s">
        <v>68</v>
      </c>
      <c r="L85" s="66" t="s">
        <v>877</v>
      </c>
      <c r="M85" s="81"/>
      <c r="N85" s="150"/>
      <c r="O85" s="69">
        <v>3.29</v>
      </c>
      <c r="P85" s="151" t="s">
        <v>162</v>
      </c>
      <c r="Q85" s="143" t="s">
        <v>154</v>
      </c>
      <c r="R85" s="74" t="s">
        <v>853</v>
      </c>
      <c r="S85" s="145"/>
      <c r="T85" s="146">
        <f t="shared" si="11"/>
        <v>174</v>
      </c>
      <c r="U85" s="146">
        <f t="shared" si="12"/>
        <v>290</v>
      </c>
      <c r="V85" s="147" t="s">
        <v>38</v>
      </c>
      <c r="W85" s="74" t="b">
        <v>0</v>
      </c>
      <c r="X85" s="74" t="b">
        <v>0</v>
      </c>
      <c r="Y85" s="74" t="b">
        <v>1</v>
      </c>
      <c r="Z85" s="148" t="str">
        <f>IFERROR(__xludf.DUMMYFUNCTION("""COMPUTED_VALUE"""),"#REF!")</f>
        <v>#REF!</v>
      </c>
      <c r="AA85" s="148" t="str">
        <f>IFERROR(__xludf.DUMMYFUNCTION("""COMPUTED_VALUE"""),"#REF!")</f>
        <v>#REF!</v>
      </c>
      <c r="AB85" s="148" t="str">
        <f>IFERROR(__xludf.DUMMYFUNCTION("""COMPUTED_VALUE"""),"#REF!")</f>
        <v>#REF!</v>
      </c>
      <c r="AC85" s="148"/>
      <c r="AD85" s="153">
        <v>46113.0</v>
      </c>
      <c r="AE85" s="148"/>
      <c r="AF85" s="148">
        <v>109629.0</v>
      </c>
      <c r="AG85" s="148" t="s">
        <v>878</v>
      </c>
      <c r="AH85" s="148"/>
      <c r="AI85" s="148" t="s">
        <v>876</v>
      </c>
      <c r="AJ85" s="148" t="e">
        <v>#REF!</v>
      </c>
      <c r="AK85" s="148" t="e">
        <v>#REF!</v>
      </c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</row>
    <row r="86" ht="14.25" customHeight="1">
      <c r="A86" s="152" t="s">
        <v>13</v>
      </c>
      <c r="B86" s="135" t="s">
        <v>879</v>
      </c>
      <c r="C86" s="77">
        <v>46114.0</v>
      </c>
      <c r="D86" s="166">
        <v>109630.0</v>
      </c>
      <c r="E86" s="60">
        <v>26.10585</v>
      </c>
      <c r="F86" s="60">
        <v>26.36028</v>
      </c>
      <c r="G86" s="62" t="s">
        <v>880</v>
      </c>
      <c r="H86" s="63" t="s">
        <v>34</v>
      </c>
      <c r="I86" s="155">
        <v>1.0</v>
      </c>
      <c r="J86" s="85">
        <v>7.44</v>
      </c>
      <c r="K86" s="80" t="s">
        <v>273</v>
      </c>
      <c r="L86" s="66" t="s">
        <v>881</v>
      </c>
      <c r="M86" s="156"/>
      <c r="N86" s="150"/>
      <c r="O86" s="87">
        <v>7.44</v>
      </c>
      <c r="P86" s="151" t="s">
        <v>153</v>
      </c>
      <c r="Q86" s="143" t="s">
        <v>154</v>
      </c>
      <c r="R86" s="74" t="s">
        <v>850</v>
      </c>
      <c r="S86" s="145"/>
      <c r="T86" s="146">
        <f t="shared" si="11"/>
        <v>396</v>
      </c>
      <c r="U86" s="146">
        <f t="shared" si="12"/>
        <v>660</v>
      </c>
      <c r="V86" s="147" t="s">
        <v>38</v>
      </c>
      <c r="W86" s="74" t="b">
        <v>0</v>
      </c>
      <c r="X86" s="74" t="b">
        <v>0</v>
      </c>
      <c r="Y86" s="74" t="b">
        <v>0</v>
      </c>
      <c r="Z86" s="148" t="str">
        <f>IFERROR(__xludf.DUMMYFUNCTION("""COMPUTED_VALUE"""),"#REF!")</f>
        <v>#REF!</v>
      </c>
      <c r="AA86" s="148" t="str">
        <f>IFERROR(__xludf.DUMMYFUNCTION("""COMPUTED_VALUE"""),"#REF!")</f>
        <v>#REF!</v>
      </c>
      <c r="AB86" s="148" t="str">
        <f>IFERROR(__xludf.DUMMYFUNCTION("""COMPUTED_VALUE"""),"#REF!")</f>
        <v>#REF!</v>
      </c>
      <c r="AC86" s="148"/>
      <c r="AD86" s="153">
        <v>46114.0</v>
      </c>
      <c r="AE86" s="148"/>
      <c r="AF86" s="148">
        <v>109630.0</v>
      </c>
      <c r="AG86" s="148" t="s">
        <v>882</v>
      </c>
      <c r="AH86" s="148"/>
      <c r="AI86" s="148" t="s">
        <v>880</v>
      </c>
      <c r="AJ86" s="148" t="e">
        <v>#REF!</v>
      </c>
      <c r="AK86" s="148" t="e">
        <v>#REF!</v>
      </c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</row>
    <row r="87" ht="14.25" customHeight="1">
      <c r="A87" s="152" t="s">
        <v>13</v>
      </c>
      <c r="B87" s="135" t="s">
        <v>879</v>
      </c>
      <c r="C87" s="77">
        <v>46114.0</v>
      </c>
      <c r="D87" s="166">
        <v>109631.0</v>
      </c>
      <c r="E87" s="60">
        <v>26.10591</v>
      </c>
      <c r="F87" s="60">
        <v>26.36055</v>
      </c>
      <c r="G87" s="62" t="s">
        <v>883</v>
      </c>
      <c r="H87" s="63" t="s">
        <v>34</v>
      </c>
      <c r="I87" s="155">
        <v>1.0</v>
      </c>
      <c r="J87" s="85">
        <v>5.66</v>
      </c>
      <c r="K87" s="80" t="s">
        <v>269</v>
      </c>
      <c r="L87" s="66" t="s">
        <v>884</v>
      </c>
      <c r="M87" s="156"/>
      <c r="N87" s="150"/>
      <c r="O87" s="87">
        <v>5.66</v>
      </c>
      <c r="P87" s="151" t="s">
        <v>153</v>
      </c>
      <c r="Q87" s="143" t="s">
        <v>154</v>
      </c>
      <c r="R87" s="74" t="s">
        <v>850</v>
      </c>
      <c r="S87" s="145"/>
      <c r="T87" s="146">
        <f t="shared" si="11"/>
        <v>300</v>
      </c>
      <c r="U87" s="146">
        <f t="shared" si="12"/>
        <v>500</v>
      </c>
      <c r="V87" s="147" t="s">
        <v>38</v>
      </c>
      <c r="W87" s="74" t="b">
        <v>0</v>
      </c>
      <c r="X87" s="74" t="b">
        <v>0</v>
      </c>
      <c r="Y87" s="74" t="b">
        <v>0</v>
      </c>
      <c r="Z87" s="148" t="str">
        <f>IFERROR(__xludf.DUMMYFUNCTION("""COMPUTED_VALUE"""),"#REF!")</f>
        <v>#REF!</v>
      </c>
      <c r="AA87" s="148" t="str">
        <f>IFERROR(__xludf.DUMMYFUNCTION("""COMPUTED_VALUE"""),"#REF!")</f>
        <v>#REF!</v>
      </c>
      <c r="AB87" s="148" t="str">
        <f>IFERROR(__xludf.DUMMYFUNCTION("""COMPUTED_VALUE"""),"#REF!")</f>
        <v>#REF!</v>
      </c>
      <c r="AC87" s="148"/>
      <c r="AD87" s="153">
        <v>46114.0</v>
      </c>
      <c r="AE87" s="148"/>
      <c r="AF87" s="148">
        <v>109631.0</v>
      </c>
      <c r="AG87" s="148" t="s">
        <v>885</v>
      </c>
      <c r="AH87" s="148"/>
      <c r="AI87" s="148" t="s">
        <v>883</v>
      </c>
      <c r="AJ87" s="148" t="e">
        <v>#REF!</v>
      </c>
      <c r="AK87" s="148" t="e">
        <v>#REF!</v>
      </c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</row>
    <row r="88" ht="14.25" customHeight="1">
      <c r="A88" s="152" t="s">
        <v>13</v>
      </c>
      <c r="B88" s="135" t="s">
        <v>879</v>
      </c>
      <c r="C88" s="77">
        <v>46114.0</v>
      </c>
      <c r="D88" s="166">
        <v>109632.0</v>
      </c>
      <c r="E88" s="223">
        <v>22.675</v>
      </c>
      <c r="F88" s="60">
        <v>24.2814</v>
      </c>
      <c r="G88" s="62" t="s">
        <v>886</v>
      </c>
      <c r="H88" s="154" t="s">
        <v>304</v>
      </c>
      <c r="I88" s="155">
        <v>1.0</v>
      </c>
      <c r="J88" s="85">
        <v>7.49</v>
      </c>
      <c r="K88" s="80" t="s">
        <v>887</v>
      </c>
      <c r="L88" s="66" t="s">
        <v>888</v>
      </c>
      <c r="M88" s="156"/>
      <c r="N88" s="150"/>
      <c r="O88" s="87">
        <v>7.49</v>
      </c>
      <c r="P88" s="151" t="s">
        <v>162</v>
      </c>
      <c r="Q88" s="143" t="s">
        <v>154</v>
      </c>
      <c r="R88" s="74" t="s">
        <v>853</v>
      </c>
      <c r="S88" s="145"/>
      <c r="T88" s="146">
        <f t="shared" si="11"/>
        <v>534</v>
      </c>
      <c r="U88" s="146">
        <f t="shared" ref="U88:U89" si="13">round((O88*119)+(550*N88),-1)</f>
        <v>890</v>
      </c>
      <c r="V88" s="147" t="s">
        <v>38</v>
      </c>
      <c r="W88" s="74" t="b">
        <v>0</v>
      </c>
      <c r="X88" s="74" t="b">
        <v>0</v>
      </c>
      <c r="Y88" s="74" t="b">
        <v>1</v>
      </c>
      <c r="Z88" s="148" t="str">
        <f>IFERROR(__xludf.DUMMYFUNCTION("""COMPUTED_VALUE"""),"#REF!")</f>
        <v>#REF!</v>
      </c>
      <c r="AA88" s="148" t="str">
        <f>IFERROR(__xludf.DUMMYFUNCTION("""COMPUTED_VALUE"""),"#REF!")</f>
        <v>#REF!</v>
      </c>
      <c r="AB88" s="148" t="str">
        <f>IFERROR(__xludf.DUMMYFUNCTION("""COMPUTED_VALUE"""),"#REF!")</f>
        <v>#REF!</v>
      </c>
      <c r="AC88" s="148"/>
      <c r="AD88" s="153">
        <v>46114.0</v>
      </c>
      <c r="AE88" s="148"/>
      <c r="AF88" s="148">
        <v>109632.0</v>
      </c>
      <c r="AG88" s="148" t="s">
        <v>889</v>
      </c>
      <c r="AH88" s="148"/>
      <c r="AI88" s="148" t="s">
        <v>886</v>
      </c>
      <c r="AJ88" s="148" t="e">
        <v>#REF!</v>
      </c>
      <c r="AK88" s="148" t="e">
        <v>#REF!</v>
      </c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</row>
    <row r="89" ht="14.25" customHeight="1">
      <c r="A89" s="152" t="s">
        <v>13</v>
      </c>
      <c r="B89" s="135" t="s">
        <v>879</v>
      </c>
      <c r="C89" s="77">
        <v>46114.0</v>
      </c>
      <c r="D89" s="166">
        <v>109633.0</v>
      </c>
      <c r="E89" s="223">
        <v>22.675</v>
      </c>
      <c r="F89" s="60">
        <v>25.34507</v>
      </c>
      <c r="G89" s="62" t="s">
        <v>890</v>
      </c>
      <c r="H89" s="154" t="s">
        <v>304</v>
      </c>
      <c r="I89" s="155">
        <v>1.0</v>
      </c>
      <c r="J89" s="85">
        <v>7.54</v>
      </c>
      <c r="K89" s="80" t="s">
        <v>887</v>
      </c>
      <c r="L89" s="66" t="s">
        <v>891</v>
      </c>
      <c r="M89" s="156"/>
      <c r="N89" s="150"/>
      <c r="O89" s="87">
        <v>7.54</v>
      </c>
      <c r="P89" s="151" t="s">
        <v>162</v>
      </c>
      <c r="Q89" s="143" t="s">
        <v>154</v>
      </c>
      <c r="R89" s="74" t="s">
        <v>853</v>
      </c>
      <c r="S89" s="145"/>
      <c r="T89" s="146">
        <f t="shared" si="11"/>
        <v>540</v>
      </c>
      <c r="U89" s="146">
        <f t="shared" si="13"/>
        <v>900</v>
      </c>
      <c r="V89" s="147" t="s">
        <v>38</v>
      </c>
      <c r="W89" s="74" t="b">
        <v>0</v>
      </c>
      <c r="X89" s="74" t="b">
        <v>0</v>
      </c>
      <c r="Y89" s="74" t="b">
        <v>1</v>
      </c>
      <c r="Z89" s="148" t="str">
        <f>IFERROR(__xludf.DUMMYFUNCTION("""COMPUTED_VALUE"""),"#REF!")</f>
        <v>#REF!</v>
      </c>
      <c r="AA89" s="148" t="str">
        <f>IFERROR(__xludf.DUMMYFUNCTION("""COMPUTED_VALUE"""),"#REF!")</f>
        <v>#REF!</v>
      </c>
      <c r="AB89" s="148" t="str">
        <f>IFERROR(__xludf.DUMMYFUNCTION("""COMPUTED_VALUE"""),"#REF!")</f>
        <v>#REF!</v>
      </c>
      <c r="AC89" s="148"/>
      <c r="AD89" s="153">
        <v>46114.0</v>
      </c>
      <c r="AE89" s="148"/>
      <c r="AF89" s="148">
        <v>109633.0</v>
      </c>
      <c r="AG89" s="148" t="s">
        <v>892</v>
      </c>
      <c r="AH89" s="148"/>
      <c r="AI89" s="148" t="s">
        <v>890</v>
      </c>
      <c r="AJ89" s="148" t="e">
        <v>#REF!</v>
      </c>
      <c r="AK89" s="148" t="e">
        <v>#REF!</v>
      </c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</row>
    <row r="90" ht="14.25" customHeight="1">
      <c r="A90" s="152" t="s">
        <v>13</v>
      </c>
      <c r="B90" s="135" t="s">
        <v>879</v>
      </c>
      <c r="C90" s="77">
        <v>46114.0</v>
      </c>
      <c r="D90" s="166">
        <v>109634.0</v>
      </c>
      <c r="E90" s="60">
        <v>25.9211</v>
      </c>
      <c r="F90" s="60">
        <v>25.3237</v>
      </c>
      <c r="G90" s="62" t="s">
        <v>893</v>
      </c>
      <c r="H90" s="63" t="s">
        <v>45</v>
      </c>
      <c r="I90" s="155">
        <v>1.0</v>
      </c>
      <c r="J90" s="85">
        <v>3.37</v>
      </c>
      <c r="K90" s="80" t="s">
        <v>177</v>
      </c>
      <c r="L90" s="66" t="s">
        <v>894</v>
      </c>
      <c r="M90" s="156"/>
      <c r="N90" s="150"/>
      <c r="O90" s="87">
        <v>3.37</v>
      </c>
      <c r="P90" s="151" t="s">
        <v>162</v>
      </c>
      <c r="Q90" s="143" t="s">
        <v>154</v>
      </c>
      <c r="R90" s="74" t="s">
        <v>853</v>
      </c>
      <c r="S90" s="145"/>
      <c r="T90" s="146">
        <f t="shared" si="11"/>
        <v>180</v>
      </c>
      <c r="U90" s="146">
        <f t="shared" ref="U90:U93" si="14">round((O90*89)+(550*N90),-1)</f>
        <v>300</v>
      </c>
      <c r="V90" s="147" t="s">
        <v>38</v>
      </c>
      <c r="W90" s="74" t="b">
        <v>0</v>
      </c>
      <c r="X90" s="74" t="b">
        <v>0</v>
      </c>
      <c r="Y90" s="74" t="b">
        <v>1</v>
      </c>
      <c r="Z90" s="148" t="str">
        <f>IFERROR(__xludf.DUMMYFUNCTION("""COMPUTED_VALUE"""),"#REF!")</f>
        <v>#REF!</v>
      </c>
      <c r="AA90" s="148" t="str">
        <f>IFERROR(__xludf.DUMMYFUNCTION("""COMPUTED_VALUE"""),"#REF!")</f>
        <v>#REF!</v>
      </c>
      <c r="AB90" s="148" t="str">
        <f>IFERROR(__xludf.DUMMYFUNCTION("""COMPUTED_VALUE"""),"#REF!")</f>
        <v>#REF!</v>
      </c>
      <c r="AC90" s="148"/>
      <c r="AD90" s="153">
        <v>46114.0</v>
      </c>
      <c r="AE90" s="148"/>
      <c r="AF90" s="148">
        <v>109634.0</v>
      </c>
      <c r="AG90" s="148" t="s">
        <v>895</v>
      </c>
      <c r="AH90" s="148"/>
      <c r="AI90" s="148" t="s">
        <v>893</v>
      </c>
      <c r="AJ90" s="148" t="e">
        <v>#REF!</v>
      </c>
      <c r="AK90" s="148" t="e">
        <v>#REF!</v>
      </c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</row>
    <row r="91" ht="14.25" customHeight="1">
      <c r="A91" s="152" t="s">
        <v>13</v>
      </c>
      <c r="B91" s="135" t="s">
        <v>879</v>
      </c>
      <c r="C91" s="77">
        <v>46114.0</v>
      </c>
      <c r="D91" s="166">
        <v>109635.0</v>
      </c>
      <c r="E91" s="60">
        <v>25.9211</v>
      </c>
      <c r="F91" s="60">
        <v>25.32371</v>
      </c>
      <c r="G91" s="62" t="s">
        <v>896</v>
      </c>
      <c r="H91" s="63" t="s">
        <v>45</v>
      </c>
      <c r="I91" s="155">
        <v>1.0</v>
      </c>
      <c r="J91" s="85">
        <v>3.34</v>
      </c>
      <c r="K91" s="80" t="s">
        <v>177</v>
      </c>
      <c r="L91" s="66" t="s">
        <v>897</v>
      </c>
      <c r="M91" s="156"/>
      <c r="N91" s="150"/>
      <c r="O91" s="87">
        <v>3.34</v>
      </c>
      <c r="P91" s="151" t="s">
        <v>162</v>
      </c>
      <c r="Q91" s="143" t="s">
        <v>154</v>
      </c>
      <c r="R91" s="74" t="s">
        <v>853</v>
      </c>
      <c r="S91" s="145"/>
      <c r="T91" s="146">
        <f t="shared" si="11"/>
        <v>180</v>
      </c>
      <c r="U91" s="146">
        <f t="shared" si="14"/>
        <v>300</v>
      </c>
      <c r="V91" s="147" t="s">
        <v>38</v>
      </c>
      <c r="W91" s="74" t="b">
        <v>0</v>
      </c>
      <c r="X91" s="74" t="b">
        <v>0</v>
      </c>
      <c r="Y91" s="74" t="b">
        <v>1</v>
      </c>
      <c r="Z91" s="148" t="str">
        <f>IFERROR(__xludf.DUMMYFUNCTION("""COMPUTED_VALUE"""),"#REF!")</f>
        <v>#REF!</v>
      </c>
      <c r="AA91" s="148" t="str">
        <f>IFERROR(__xludf.DUMMYFUNCTION("""COMPUTED_VALUE"""),"#REF!")</f>
        <v>#REF!</v>
      </c>
      <c r="AB91" s="148" t="str">
        <f>IFERROR(__xludf.DUMMYFUNCTION("""COMPUTED_VALUE"""),"#REF!")</f>
        <v>#REF!</v>
      </c>
      <c r="AC91" s="148"/>
      <c r="AD91" s="153">
        <v>46114.0</v>
      </c>
      <c r="AE91" s="148"/>
      <c r="AF91" s="148">
        <v>109635.0</v>
      </c>
      <c r="AG91" s="148" t="s">
        <v>898</v>
      </c>
      <c r="AH91" s="148"/>
      <c r="AI91" s="148" t="s">
        <v>896</v>
      </c>
      <c r="AJ91" s="148" t="e">
        <v>#REF!</v>
      </c>
      <c r="AK91" s="148" t="e">
        <v>#REF!</v>
      </c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</row>
    <row r="92" ht="14.25" customHeight="1">
      <c r="A92" s="152" t="s">
        <v>13</v>
      </c>
      <c r="B92" s="135" t="s">
        <v>879</v>
      </c>
      <c r="C92" s="77">
        <v>46114.0</v>
      </c>
      <c r="D92" s="166">
        <v>109601.0</v>
      </c>
      <c r="E92" s="223">
        <v>25.936</v>
      </c>
      <c r="F92" s="60">
        <v>25.32499</v>
      </c>
      <c r="G92" s="62" t="s">
        <v>899</v>
      </c>
      <c r="H92" s="63" t="s">
        <v>34</v>
      </c>
      <c r="I92" s="155">
        <v>1.0</v>
      </c>
      <c r="J92" s="85">
        <v>19.0</v>
      </c>
      <c r="K92" s="80" t="s">
        <v>900</v>
      </c>
      <c r="L92" s="66" t="s">
        <v>901</v>
      </c>
      <c r="M92" s="156">
        <v>119.0</v>
      </c>
      <c r="N92" s="150">
        <v>3.014</v>
      </c>
      <c r="O92" s="87">
        <v>18.3972</v>
      </c>
      <c r="P92" s="151" t="s">
        <v>162</v>
      </c>
      <c r="Q92" s="143" t="s">
        <v>154</v>
      </c>
      <c r="R92" s="74" t="s">
        <v>902</v>
      </c>
      <c r="S92" s="145"/>
      <c r="T92" s="146">
        <f t="shared" si="11"/>
        <v>1980</v>
      </c>
      <c r="U92" s="146">
        <f t="shared" si="14"/>
        <v>3300</v>
      </c>
      <c r="V92" s="147" t="s">
        <v>38</v>
      </c>
      <c r="W92" s="74" t="b">
        <v>0</v>
      </c>
      <c r="X92" s="74" t="b">
        <v>0</v>
      </c>
      <c r="Y92" s="74" t="b">
        <v>0</v>
      </c>
      <c r="Z92" s="148" t="str">
        <f>IFERROR(__xludf.DUMMYFUNCTION("""COMPUTED_VALUE"""),"#REF!")</f>
        <v>#REF!</v>
      </c>
      <c r="AA92" s="148" t="str">
        <f>IFERROR(__xludf.DUMMYFUNCTION("""COMPUTED_VALUE"""),"#REF!")</f>
        <v>#REF!</v>
      </c>
      <c r="AB92" s="148" t="str">
        <f>IFERROR(__xludf.DUMMYFUNCTION("""COMPUTED_VALUE"""),"#REF!")</f>
        <v>#REF!</v>
      </c>
      <c r="AC92" s="148"/>
      <c r="AD92" s="153">
        <v>46114.0</v>
      </c>
      <c r="AE92" s="148"/>
      <c r="AF92" s="148">
        <v>109601.0</v>
      </c>
      <c r="AG92" s="148" t="s">
        <v>903</v>
      </c>
      <c r="AH92" s="148"/>
      <c r="AI92" s="148" t="s">
        <v>899</v>
      </c>
      <c r="AJ92" s="148" t="e">
        <v>#REF!</v>
      </c>
      <c r="AK92" s="148" t="e">
        <v>#REF!</v>
      </c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</row>
    <row r="93" ht="14.25" customHeight="1">
      <c r="A93" s="152" t="s">
        <v>13</v>
      </c>
      <c r="B93" s="135" t="s">
        <v>879</v>
      </c>
      <c r="C93" s="77">
        <v>46114.0</v>
      </c>
      <c r="D93" s="166">
        <v>109636.0</v>
      </c>
      <c r="E93" s="60">
        <v>25.10251</v>
      </c>
      <c r="F93" s="60">
        <v>25.34888</v>
      </c>
      <c r="G93" s="62" t="s">
        <v>904</v>
      </c>
      <c r="H93" s="63" t="s">
        <v>45</v>
      </c>
      <c r="I93" s="155">
        <v>1.0</v>
      </c>
      <c r="J93" s="85">
        <v>3.72</v>
      </c>
      <c r="K93" s="80" t="s">
        <v>51</v>
      </c>
      <c r="L93" s="66" t="s">
        <v>905</v>
      </c>
      <c r="M93" s="156">
        <v>52.0</v>
      </c>
      <c r="N93" s="150">
        <v>0.963</v>
      </c>
      <c r="O93" s="87">
        <v>3.5274</v>
      </c>
      <c r="P93" s="151" t="s">
        <v>162</v>
      </c>
      <c r="Q93" s="143" t="s">
        <v>154</v>
      </c>
      <c r="R93" s="74" t="s">
        <v>853</v>
      </c>
      <c r="S93" s="145"/>
      <c r="T93" s="146">
        <f t="shared" si="11"/>
        <v>504</v>
      </c>
      <c r="U93" s="146">
        <f t="shared" si="14"/>
        <v>840</v>
      </c>
      <c r="V93" s="147" t="s">
        <v>38</v>
      </c>
      <c r="W93" s="74" t="b">
        <v>0</v>
      </c>
      <c r="X93" s="74" t="b">
        <v>0</v>
      </c>
      <c r="Y93" s="74" t="b">
        <v>1</v>
      </c>
      <c r="Z93" s="148" t="str">
        <f>IFERROR(__xludf.DUMMYFUNCTION("""COMPUTED_VALUE"""),"#REF!")</f>
        <v>#REF!</v>
      </c>
      <c r="AA93" s="148" t="str">
        <f>IFERROR(__xludf.DUMMYFUNCTION("""COMPUTED_VALUE"""),"#REF!")</f>
        <v>#REF!</v>
      </c>
      <c r="AB93" s="148" t="str">
        <f>IFERROR(__xludf.DUMMYFUNCTION("""COMPUTED_VALUE"""),"#REF!")</f>
        <v>#REF!</v>
      </c>
      <c r="AC93" s="148"/>
      <c r="AD93" s="153">
        <v>46114.0</v>
      </c>
      <c r="AE93" s="148"/>
      <c r="AF93" s="148">
        <v>109636.0</v>
      </c>
      <c r="AG93" s="148" t="s">
        <v>906</v>
      </c>
      <c r="AH93" s="148"/>
      <c r="AI93" s="148" t="s">
        <v>904</v>
      </c>
      <c r="AJ93" s="148" t="e">
        <v>#REF!</v>
      </c>
      <c r="AK93" s="148" t="e">
        <v>#REF!</v>
      </c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</row>
    <row r="94" ht="14.25" customHeight="1">
      <c r="A94" s="152" t="s">
        <v>13</v>
      </c>
      <c r="B94" s="135" t="s">
        <v>879</v>
      </c>
      <c r="C94" s="77">
        <v>46114.0</v>
      </c>
      <c r="D94" s="166">
        <v>109637.0</v>
      </c>
      <c r="E94" s="60">
        <v>25.10258</v>
      </c>
      <c r="F94" s="60">
        <v>25.34964</v>
      </c>
      <c r="G94" s="62" t="s">
        <v>907</v>
      </c>
      <c r="H94" s="63" t="s">
        <v>45</v>
      </c>
      <c r="I94" s="155">
        <v>1.0</v>
      </c>
      <c r="J94" s="85">
        <v>3.94</v>
      </c>
      <c r="K94" s="80" t="s">
        <v>188</v>
      </c>
      <c r="L94" s="66" t="s">
        <v>908</v>
      </c>
      <c r="M94" s="156">
        <v>2.0</v>
      </c>
      <c r="N94" s="150">
        <v>0.26</v>
      </c>
      <c r="O94" s="87">
        <v>3.888</v>
      </c>
      <c r="P94" s="151" t="s">
        <v>162</v>
      </c>
      <c r="Q94" s="143" t="s">
        <v>154</v>
      </c>
      <c r="R94" s="74" t="s">
        <v>853</v>
      </c>
      <c r="S94" s="145"/>
      <c r="T94" s="146">
        <f t="shared" si="11"/>
        <v>210</v>
      </c>
      <c r="U94" s="146">
        <f t="shared" ref="U94:U95" si="15">round((O94*89)+(10*N94),-1)</f>
        <v>350</v>
      </c>
      <c r="V94" s="147" t="s">
        <v>38</v>
      </c>
      <c r="W94" s="74" t="b">
        <v>1</v>
      </c>
      <c r="X94" s="74" t="b">
        <v>0</v>
      </c>
      <c r="Y94" s="74" t="b">
        <v>1</v>
      </c>
      <c r="Z94" s="148" t="str">
        <f>IFERROR(__xludf.DUMMYFUNCTION("""COMPUTED_VALUE"""),"#REF!")</f>
        <v>#REF!</v>
      </c>
      <c r="AA94" s="148" t="str">
        <f>IFERROR(__xludf.DUMMYFUNCTION("""COMPUTED_VALUE"""),"#REF!")</f>
        <v>#REF!</v>
      </c>
      <c r="AB94" s="148" t="str">
        <f>IFERROR(__xludf.DUMMYFUNCTION("""COMPUTED_VALUE"""),"#REF!")</f>
        <v>#REF!</v>
      </c>
      <c r="AC94" s="148"/>
      <c r="AD94" s="153">
        <v>46114.0</v>
      </c>
      <c r="AE94" s="148"/>
      <c r="AF94" s="148">
        <v>109637.0</v>
      </c>
      <c r="AG94" s="148" t="s">
        <v>909</v>
      </c>
      <c r="AH94" s="148"/>
      <c r="AI94" s="148" t="s">
        <v>907</v>
      </c>
      <c r="AJ94" s="148" t="e">
        <v>#REF!</v>
      </c>
      <c r="AK94" s="148" t="e">
        <v>#REF!</v>
      </c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</row>
    <row r="95" ht="14.25" customHeight="1">
      <c r="A95" s="152" t="s">
        <v>13</v>
      </c>
      <c r="B95" s="135" t="s">
        <v>879</v>
      </c>
      <c r="C95" s="77">
        <v>46114.0</v>
      </c>
      <c r="D95" s="166">
        <v>109638.0</v>
      </c>
      <c r="E95" s="60">
        <v>25.10258</v>
      </c>
      <c r="F95" s="60">
        <v>25.34966</v>
      </c>
      <c r="G95" s="62" t="s">
        <v>910</v>
      </c>
      <c r="H95" s="63" t="s">
        <v>45</v>
      </c>
      <c r="I95" s="155">
        <v>1.0</v>
      </c>
      <c r="J95" s="85">
        <v>4.12</v>
      </c>
      <c r="K95" s="80" t="s">
        <v>188</v>
      </c>
      <c r="L95" s="66" t="s">
        <v>911</v>
      </c>
      <c r="M95" s="156">
        <v>2.0</v>
      </c>
      <c r="N95" s="150">
        <v>0.512</v>
      </c>
      <c r="O95" s="87">
        <v>4.0176</v>
      </c>
      <c r="P95" s="151" t="s">
        <v>162</v>
      </c>
      <c r="Q95" s="143" t="s">
        <v>154</v>
      </c>
      <c r="R95" s="74" t="s">
        <v>853</v>
      </c>
      <c r="S95" s="145"/>
      <c r="T95" s="146">
        <f t="shared" si="11"/>
        <v>216</v>
      </c>
      <c r="U95" s="146">
        <f t="shared" si="15"/>
        <v>360</v>
      </c>
      <c r="V95" s="147" t="s">
        <v>38</v>
      </c>
      <c r="W95" s="74" t="b">
        <v>1</v>
      </c>
      <c r="X95" s="74" t="b">
        <v>0</v>
      </c>
      <c r="Y95" s="74" t="b">
        <v>1</v>
      </c>
      <c r="Z95" s="148" t="str">
        <f>IFERROR(__xludf.DUMMYFUNCTION("""COMPUTED_VALUE"""),"#REF!")</f>
        <v>#REF!</v>
      </c>
      <c r="AA95" s="148" t="str">
        <f>IFERROR(__xludf.DUMMYFUNCTION("""COMPUTED_VALUE"""),"#REF!")</f>
        <v>#REF!</v>
      </c>
      <c r="AB95" s="148" t="str">
        <f>IFERROR(__xludf.DUMMYFUNCTION("""COMPUTED_VALUE"""),"#REF!")</f>
        <v>#REF!</v>
      </c>
      <c r="AC95" s="148"/>
      <c r="AD95" s="153">
        <v>46114.0</v>
      </c>
      <c r="AE95" s="148"/>
      <c r="AF95" s="148">
        <v>109638.0</v>
      </c>
      <c r="AG95" s="148" t="s">
        <v>912</v>
      </c>
      <c r="AH95" s="148"/>
      <c r="AI95" s="148" t="s">
        <v>910</v>
      </c>
      <c r="AJ95" s="148" t="e">
        <v>#REF!</v>
      </c>
      <c r="AK95" s="148" t="e">
        <v>#REF!</v>
      </c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</row>
    <row r="96" ht="14.25" customHeight="1">
      <c r="A96" s="134" t="s">
        <v>13</v>
      </c>
      <c r="B96" s="172" t="s">
        <v>913</v>
      </c>
      <c r="C96" s="77">
        <v>46114.0</v>
      </c>
      <c r="D96" s="224" t="s">
        <v>914</v>
      </c>
      <c r="E96" s="225">
        <v>25.9897</v>
      </c>
      <c r="F96" s="60"/>
      <c r="G96" s="90" t="s">
        <v>915</v>
      </c>
      <c r="H96" s="63" t="s">
        <v>45</v>
      </c>
      <c r="I96" s="178">
        <v>1.0</v>
      </c>
      <c r="J96" s="206">
        <v>10.72</v>
      </c>
      <c r="K96" s="80" t="s">
        <v>269</v>
      </c>
      <c r="L96" s="66"/>
      <c r="M96" s="81"/>
      <c r="N96" s="141"/>
      <c r="O96" s="69">
        <f>J96-(N96*0.2)</f>
        <v>10.72</v>
      </c>
      <c r="P96" s="142" t="s">
        <v>153</v>
      </c>
      <c r="Q96" s="143" t="s">
        <v>154</v>
      </c>
      <c r="R96" s="226" t="s">
        <v>916</v>
      </c>
      <c r="S96" s="145"/>
      <c r="T96" s="146">
        <f t="shared" si="11"/>
        <v>570</v>
      </c>
      <c r="U96" s="146">
        <f>round((O96*89)+(550*N96),-1)</f>
        <v>950</v>
      </c>
      <c r="V96" s="147" t="s">
        <v>38</v>
      </c>
      <c r="W96" s="74" t="b">
        <v>0</v>
      </c>
      <c r="X96" s="74" t="b">
        <v>0</v>
      </c>
      <c r="Y96" s="74" t="b">
        <v>0</v>
      </c>
      <c r="Z96" s="148" t="str">
        <f>IFERROR(__xludf.DUMMYFUNCTION("""COMPUTED_VALUE"""),"")</f>
        <v/>
      </c>
      <c r="AA96" s="148" t="str">
        <f>IFERROR(__xludf.DUMMYFUNCTION("""COMPUTED_VALUE"""),"")</f>
        <v/>
      </c>
      <c r="AB96" s="148" t="str">
        <f>IFERROR(__xludf.DUMMYFUNCTION("""COMPUTED_VALUE"""),"")</f>
        <v/>
      </c>
      <c r="AC96" s="148"/>
      <c r="AD96" s="153">
        <v>46114.0</v>
      </c>
      <c r="AE96" s="148"/>
      <c r="AF96" s="148" t="s">
        <v>914</v>
      </c>
      <c r="AG96" s="148" t="s">
        <v>917</v>
      </c>
      <c r="AH96" s="148"/>
      <c r="AI96" s="148" t="s">
        <v>915</v>
      </c>
      <c r="AJ96" s="148" t="s">
        <v>614</v>
      </c>
      <c r="AK96" s="148" t="s">
        <v>614</v>
      </c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</row>
    <row r="97" ht="14.25" customHeight="1">
      <c r="A97" s="152" t="s">
        <v>13</v>
      </c>
      <c r="B97" s="135" t="s">
        <v>918</v>
      </c>
      <c r="C97" s="77">
        <v>46115.0</v>
      </c>
      <c r="D97" s="227">
        <v>109639.0</v>
      </c>
      <c r="E97" s="228">
        <v>25.9967</v>
      </c>
      <c r="F97" s="60">
        <v>26.36049</v>
      </c>
      <c r="G97" s="62" t="s">
        <v>919</v>
      </c>
      <c r="H97" s="160" t="s">
        <v>208</v>
      </c>
      <c r="I97" s="155">
        <v>1.0</v>
      </c>
      <c r="J97" s="85">
        <v>1.48</v>
      </c>
      <c r="K97" s="80" t="s">
        <v>632</v>
      </c>
      <c r="L97" s="66" t="s">
        <v>920</v>
      </c>
      <c r="M97" s="156"/>
      <c r="N97" s="150"/>
      <c r="O97" s="87">
        <v>1.48</v>
      </c>
      <c r="P97" s="151" t="s">
        <v>153</v>
      </c>
      <c r="Q97" s="143" t="s">
        <v>154</v>
      </c>
      <c r="R97" s="74" t="s">
        <v>850</v>
      </c>
      <c r="S97" s="145"/>
      <c r="T97" s="146">
        <f t="shared" si="11"/>
        <v>42</v>
      </c>
      <c r="U97" s="146">
        <f>round((O97*48)+(550*N97),-1)</f>
        <v>70</v>
      </c>
      <c r="V97" s="147" t="s">
        <v>38</v>
      </c>
      <c r="W97" s="74" t="b">
        <v>0</v>
      </c>
      <c r="X97" s="74" t="b">
        <v>0</v>
      </c>
      <c r="Y97" s="74" t="b">
        <v>0</v>
      </c>
      <c r="Z97" s="148" t="str">
        <f>IFERROR(__xludf.DUMMYFUNCTION("""COMPUTED_VALUE"""),"#REF!")</f>
        <v>#REF!</v>
      </c>
      <c r="AA97" s="148" t="str">
        <f>IFERROR(__xludf.DUMMYFUNCTION("""COMPUTED_VALUE"""),"#REF!")</f>
        <v>#REF!</v>
      </c>
      <c r="AB97" s="148" t="str">
        <f>IFERROR(__xludf.DUMMYFUNCTION("""COMPUTED_VALUE"""),"#REF!")</f>
        <v>#REF!</v>
      </c>
      <c r="AC97" s="148"/>
      <c r="AD97" s="153">
        <v>46115.0</v>
      </c>
      <c r="AE97" s="148"/>
      <c r="AF97" s="148">
        <v>109639.0</v>
      </c>
      <c r="AG97" s="148" t="s">
        <v>921</v>
      </c>
      <c r="AH97" s="148"/>
      <c r="AI97" s="148" t="s">
        <v>919</v>
      </c>
      <c r="AJ97" s="148" t="e">
        <v>#REF!</v>
      </c>
      <c r="AK97" s="148" t="e">
        <v>#REF!</v>
      </c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</row>
    <row r="98" ht="14.25" customHeight="1">
      <c r="A98" s="152" t="s">
        <v>13</v>
      </c>
      <c r="B98" s="135" t="s">
        <v>918</v>
      </c>
      <c r="C98" s="77">
        <v>46115.0</v>
      </c>
      <c r="D98" s="229">
        <v>109640.0</v>
      </c>
      <c r="E98" s="225">
        <v>25.10042</v>
      </c>
      <c r="F98" s="60">
        <v>25.34286</v>
      </c>
      <c r="G98" s="62" t="s">
        <v>922</v>
      </c>
      <c r="H98" s="160" t="s">
        <v>923</v>
      </c>
      <c r="I98" s="155">
        <v>1.0</v>
      </c>
      <c r="J98" s="85">
        <v>3.49</v>
      </c>
      <c r="K98" s="80" t="s">
        <v>188</v>
      </c>
      <c r="L98" s="66" t="s">
        <v>924</v>
      </c>
      <c r="M98" s="156">
        <v>2.0</v>
      </c>
      <c r="N98" s="150">
        <v>0.586</v>
      </c>
      <c r="O98" s="87">
        <v>3.3728000000000002</v>
      </c>
      <c r="P98" s="151" t="s">
        <v>153</v>
      </c>
      <c r="Q98" s="143" t="s">
        <v>154</v>
      </c>
      <c r="R98" s="74" t="s">
        <v>850</v>
      </c>
      <c r="S98" s="145"/>
      <c r="T98" s="146">
        <f t="shared" si="11"/>
        <v>102</v>
      </c>
      <c r="U98" s="146">
        <f>round((O98*48)+(10*N98),-1)</f>
        <v>170</v>
      </c>
      <c r="V98" s="147" t="s">
        <v>38</v>
      </c>
      <c r="W98" s="74" t="b">
        <v>0</v>
      </c>
      <c r="X98" s="74" t="b">
        <v>0</v>
      </c>
      <c r="Y98" s="74" t="b">
        <v>0</v>
      </c>
      <c r="Z98" s="148" t="str">
        <f>IFERROR(__xludf.DUMMYFUNCTION("""COMPUTED_VALUE"""),"#REF!")</f>
        <v>#REF!</v>
      </c>
      <c r="AA98" s="148" t="str">
        <f>IFERROR(__xludf.DUMMYFUNCTION("""COMPUTED_VALUE"""),"#REF!")</f>
        <v>#REF!</v>
      </c>
      <c r="AB98" s="148" t="str">
        <f>IFERROR(__xludf.DUMMYFUNCTION("""COMPUTED_VALUE"""),"#REF!")</f>
        <v>#REF!</v>
      </c>
      <c r="AC98" s="148"/>
      <c r="AD98" s="153">
        <v>46115.0</v>
      </c>
      <c r="AE98" s="148"/>
      <c r="AF98" s="148">
        <v>109640.0</v>
      </c>
      <c r="AG98" s="148" t="s">
        <v>925</v>
      </c>
      <c r="AH98" s="148"/>
      <c r="AI98" s="148" t="s">
        <v>922</v>
      </c>
      <c r="AJ98" s="148" t="e">
        <v>#REF!</v>
      </c>
      <c r="AK98" s="148" t="e">
        <v>#REF!</v>
      </c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</row>
    <row r="99" ht="14.25" customHeight="1">
      <c r="A99" s="152" t="s">
        <v>13</v>
      </c>
      <c r="B99" s="135" t="s">
        <v>918</v>
      </c>
      <c r="C99" s="77">
        <v>46115.0</v>
      </c>
      <c r="D99" s="227">
        <v>109641.0</v>
      </c>
      <c r="E99" s="228">
        <v>26.10596</v>
      </c>
      <c r="F99" s="60">
        <v>26.36062</v>
      </c>
      <c r="G99" s="62" t="s">
        <v>926</v>
      </c>
      <c r="H99" s="63" t="s">
        <v>45</v>
      </c>
      <c r="I99" s="155">
        <v>1.0</v>
      </c>
      <c r="J99" s="85">
        <v>5.42</v>
      </c>
      <c r="K99" s="80" t="s">
        <v>87</v>
      </c>
      <c r="L99" s="66" t="s">
        <v>927</v>
      </c>
      <c r="M99" s="156">
        <v>42.0</v>
      </c>
      <c r="N99" s="150">
        <v>0.733</v>
      </c>
      <c r="O99" s="87">
        <v>5.2734</v>
      </c>
      <c r="P99" s="151" t="s">
        <v>153</v>
      </c>
      <c r="Q99" s="143" t="s">
        <v>154</v>
      </c>
      <c r="R99" s="74" t="s">
        <v>850</v>
      </c>
      <c r="S99" s="145"/>
      <c r="T99" s="146">
        <f t="shared" si="11"/>
        <v>522</v>
      </c>
      <c r="U99" s="146">
        <f>round((O99*89)+(550*N99),-1)</f>
        <v>870</v>
      </c>
      <c r="V99" s="147" t="s">
        <v>38</v>
      </c>
      <c r="W99" s="74" t="b">
        <v>0</v>
      </c>
      <c r="X99" s="74" t="b">
        <v>0</v>
      </c>
      <c r="Y99" s="74" t="b">
        <v>0</v>
      </c>
      <c r="Z99" s="148" t="str">
        <f>IFERROR(__xludf.DUMMYFUNCTION("""COMPUTED_VALUE"""),"#REF!")</f>
        <v>#REF!</v>
      </c>
      <c r="AA99" s="148" t="str">
        <f>IFERROR(__xludf.DUMMYFUNCTION("""COMPUTED_VALUE"""),"#REF!")</f>
        <v>#REF!</v>
      </c>
      <c r="AB99" s="148" t="str">
        <f>IFERROR(__xludf.DUMMYFUNCTION("""COMPUTED_VALUE"""),"#REF!")</f>
        <v>#REF!</v>
      </c>
      <c r="AC99" s="148"/>
      <c r="AD99" s="153">
        <v>46115.0</v>
      </c>
      <c r="AE99" s="148"/>
      <c r="AF99" s="148">
        <v>109641.0</v>
      </c>
      <c r="AG99" s="148" t="s">
        <v>928</v>
      </c>
      <c r="AH99" s="148"/>
      <c r="AI99" s="148" t="s">
        <v>926</v>
      </c>
      <c r="AJ99" s="148" t="e">
        <v>#REF!</v>
      </c>
      <c r="AK99" s="148" t="e">
        <v>#REF!</v>
      </c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</row>
    <row r="100" ht="14.25" customHeight="1">
      <c r="A100" s="152" t="s">
        <v>13</v>
      </c>
      <c r="B100" s="135" t="s">
        <v>918</v>
      </c>
      <c r="C100" s="77">
        <v>46115.0</v>
      </c>
      <c r="D100" s="229">
        <v>109642.0</v>
      </c>
      <c r="E100" s="225">
        <v>26.10419</v>
      </c>
      <c r="F100" s="60">
        <v>26.35512</v>
      </c>
      <c r="G100" s="62" t="s">
        <v>929</v>
      </c>
      <c r="H100" s="160" t="s">
        <v>106</v>
      </c>
      <c r="I100" s="155">
        <v>1.0</v>
      </c>
      <c r="J100" s="85">
        <v>2.13</v>
      </c>
      <c r="K100" s="80" t="s">
        <v>188</v>
      </c>
      <c r="L100" s="66" t="s">
        <v>930</v>
      </c>
      <c r="M100" s="156">
        <v>4.0</v>
      </c>
      <c r="N100" s="150">
        <v>0.172</v>
      </c>
      <c r="O100" s="87">
        <v>2.0955999999999997</v>
      </c>
      <c r="P100" s="151" t="s">
        <v>153</v>
      </c>
      <c r="Q100" s="143" t="s">
        <v>154</v>
      </c>
      <c r="R100" s="230" t="s">
        <v>931</v>
      </c>
      <c r="S100" s="145"/>
      <c r="T100" s="146">
        <f t="shared" si="11"/>
        <v>144</v>
      </c>
      <c r="U100" s="146">
        <f>round((O100*69)+(550*N100),-1)</f>
        <v>240</v>
      </c>
      <c r="V100" s="147" t="s">
        <v>38</v>
      </c>
      <c r="W100" s="74" t="b">
        <v>0</v>
      </c>
      <c r="X100" s="74" t="b">
        <v>0</v>
      </c>
      <c r="Y100" s="74" t="b">
        <v>0</v>
      </c>
      <c r="Z100" s="148" t="str">
        <f>IFERROR(__xludf.DUMMYFUNCTION("""COMPUTED_VALUE"""),"#REF!")</f>
        <v>#REF!</v>
      </c>
      <c r="AA100" s="148" t="str">
        <f>IFERROR(__xludf.DUMMYFUNCTION("""COMPUTED_VALUE"""),"#REF!")</f>
        <v>#REF!</v>
      </c>
      <c r="AB100" s="148" t="str">
        <f>IFERROR(__xludf.DUMMYFUNCTION("""COMPUTED_VALUE"""),"#REF!")</f>
        <v>#REF!</v>
      </c>
      <c r="AC100" s="148"/>
      <c r="AD100" s="153">
        <v>46115.0</v>
      </c>
      <c r="AE100" s="148"/>
      <c r="AF100" s="148">
        <v>109642.0</v>
      </c>
      <c r="AG100" s="148" t="s">
        <v>932</v>
      </c>
      <c r="AH100" s="148"/>
      <c r="AI100" s="148" t="s">
        <v>929</v>
      </c>
      <c r="AJ100" s="148" t="e">
        <v>#REF!</v>
      </c>
      <c r="AK100" s="148" t="e">
        <v>#REF!</v>
      </c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</row>
    <row r="101" ht="14.25" customHeight="1">
      <c r="A101" s="152" t="s">
        <v>13</v>
      </c>
      <c r="B101" s="135" t="s">
        <v>918</v>
      </c>
      <c r="C101" s="77">
        <v>46115.0</v>
      </c>
      <c r="D101" s="227">
        <v>109643.0</v>
      </c>
      <c r="E101" s="228">
        <v>25.10258</v>
      </c>
      <c r="F101" s="60">
        <v>25.34967</v>
      </c>
      <c r="G101" s="62" t="s">
        <v>933</v>
      </c>
      <c r="H101" s="63" t="s">
        <v>34</v>
      </c>
      <c r="I101" s="155">
        <v>1.0</v>
      </c>
      <c r="J101" s="85">
        <v>4.84</v>
      </c>
      <c r="K101" s="80" t="s">
        <v>188</v>
      </c>
      <c r="L101" s="66" t="s">
        <v>934</v>
      </c>
      <c r="M101" s="156">
        <v>2.0</v>
      </c>
      <c r="N101" s="150">
        <v>0.51</v>
      </c>
      <c r="O101" s="87">
        <v>4.7379999999999995</v>
      </c>
      <c r="P101" s="151" t="s">
        <v>162</v>
      </c>
      <c r="Q101" s="143" t="s">
        <v>154</v>
      </c>
      <c r="R101" s="230" t="s">
        <v>931</v>
      </c>
      <c r="S101" s="145"/>
      <c r="T101" s="146">
        <f t="shared" si="11"/>
        <v>258</v>
      </c>
      <c r="U101" s="146">
        <f t="shared" ref="U101:U102" si="16">round((O101*89)+(10*N101),-1)</f>
        <v>430</v>
      </c>
      <c r="V101" s="147" t="s">
        <v>38</v>
      </c>
      <c r="W101" s="74" t="b">
        <v>0</v>
      </c>
      <c r="X101" s="74" t="b">
        <v>0</v>
      </c>
      <c r="Y101" s="74" t="b">
        <v>1</v>
      </c>
      <c r="Z101" s="148" t="str">
        <f>IFERROR(__xludf.DUMMYFUNCTION("""COMPUTED_VALUE"""),"#REF!")</f>
        <v>#REF!</v>
      </c>
      <c r="AA101" s="148" t="str">
        <f>IFERROR(__xludf.DUMMYFUNCTION("""COMPUTED_VALUE"""),"#REF!")</f>
        <v>#REF!</v>
      </c>
      <c r="AB101" s="148" t="str">
        <f>IFERROR(__xludf.DUMMYFUNCTION("""COMPUTED_VALUE"""),"#REF!")</f>
        <v>#REF!</v>
      </c>
      <c r="AC101" s="148"/>
      <c r="AD101" s="153">
        <v>46115.0</v>
      </c>
      <c r="AE101" s="148"/>
      <c r="AF101" s="148">
        <v>109643.0</v>
      </c>
      <c r="AG101" s="148" t="s">
        <v>935</v>
      </c>
      <c r="AH101" s="148"/>
      <c r="AI101" s="148" t="s">
        <v>933</v>
      </c>
      <c r="AJ101" s="148" t="e">
        <v>#REF!</v>
      </c>
      <c r="AK101" s="148" t="e">
        <v>#REF!</v>
      </c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</row>
    <row r="102" ht="14.25" customHeight="1">
      <c r="A102" s="152" t="s">
        <v>13</v>
      </c>
      <c r="B102" s="135" t="s">
        <v>918</v>
      </c>
      <c r="C102" s="77">
        <v>46115.0</v>
      </c>
      <c r="D102" s="229">
        <v>109644.0</v>
      </c>
      <c r="E102" s="225">
        <v>25.10258</v>
      </c>
      <c r="F102" s="60">
        <v>25.34968</v>
      </c>
      <c r="G102" s="62" t="s">
        <v>936</v>
      </c>
      <c r="H102" s="63" t="s">
        <v>45</v>
      </c>
      <c r="I102" s="155">
        <v>1.0</v>
      </c>
      <c r="J102" s="85">
        <v>3.89</v>
      </c>
      <c r="K102" s="80" t="s">
        <v>188</v>
      </c>
      <c r="L102" s="66" t="s">
        <v>937</v>
      </c>
      <c r="M102" s="156">
        <v>2.0</v>
      </c>
      <c r="N102" s="150">
        <v>0.436</v>
      </c>
      <c r="O102" s="87">
        <v>3.8028</v>
      </c>
      <c r="P102" s="151" t="s">
        <v>162</v>
      </c>
      <c r="Q102" s="143" t="s">
        <v>154</v>
      </c>
      <c r="R102" s="230" t="s">
        <v>931</v>
      </c>
      <c r="S102" s="145"/>
      <c r="T102" s="146">
        <f t="shared" si="11"/>
        <v>204</v>
      </c>
      <c r="U102" s="146">
        <f t="shared" si="16"/>
        <v>340</v>
      </c>
      <c r="V102" s="147" t="s">
        <v>38</v>
      </c>
      <c r="W102" s="74" t="b">
        <v>0</v>
      </c>
      <c r="X102" s="74" t="b">
        <v>0</v>
      </c>
      <c r="Y102" s="74" t="b">
        <v>1</v>
      </c>
      <c r="Z102" s="148" t="str">
        <f>IFERROR(__xludf.DUMMYFUNCTION("""COMPUTED_VALUE"""),"#REF!")</f>
        <v>#REF!</v>
      </c>
      <c r="AA102" s="148" t="str">
        <f>IFERROR(__xludf.DUMMYFUNCTION("""COMPUTED_VALUE"""),"#REF!")</f>
        <v>#REF!</v>
      </c>
      <c r="AB102" s="148" t="str">
        <f>IFERROR(__xludf.DUMMYFUNCTION("""COMPUTED_VALUE"""),"#REF!")</f>
        <v>#REF!</v>
      </c>
      <c r="AC102" s="148"/>
      <c r="AD102" s="153">
        <v>46115.0</v>
      </c>
      <c r="AE102" s="148"/>
      <c r="AF102" s="148">
        <v>109644.0</v>
      </c>
      <c r="AG102" s="148" t="s">
        <v>938</v>
      </c>
      <c r="AH102" s="148"/>
      <c r="AI102" s="148" t="s">
        <v>936</v>
      </c>
      <c r="AJ102" s="148" t="e">
        <v>#REF!</v>
      </c>
      <c r="AK102" s="148" t="e">
        <v>#REF!</v>
      </c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</row>
    <row r="103" ht="14.25" customHeight="1">
      <c r="A103" s="152" t="s">
        <v>13</v>
      </c>
      <c r="B103" s="135" t="s">
        <v>918</v>
      </c>
      <c r="C103" s="77">
        <v>46115.0</v>
      </c>
      <c r="D103" s="227">
        <v>109645.0</v>
      </c>
      <c r="E103" s="228">
        <v>25.9211</v>
      </c>
      <c r="F103" s="60">
        <v>25.32368</v>
      </c>
      <c r="G103" s="62" t="s">
        <v>939</v>
      </c>
      <c r="H103" s="63" t="s">
        <v>45</v>
      </c>
      <c r="I103" s="155">
        <v>1.0</v>
      </c>
      <c r="J103" s="85">
        <v>3.41</v>
      </c>
      <c r="K103" s="80" t="s">
        <v>177</v>
      </c>
      <c r="L103" s="66" t="s">
        <v>940</v>
      </c>
      <c r="M103" s="156"/>
      <c r="N103" s="150"/>
      <c r="O103" s="87">
        <v>3.41</v>
      </c>
      <c r="P103" s="151" t="s">
        <v>162</v>
      </c>
      <c r="Q103" s="143" t="s">
        <v>154</v>
      </c>
      <c r="R103" s="230" t="s">
        <v>931</v>
      </c>
      <c r="S103" s="145"/>
      <c r="T103" s="146">
        <f t="shared" si="11"/>
        <v>180</v>
      </c>
      <c r="U103" s="146">
        <f>round((O103*89)+(550*N103),-1)</f>
        <v>300</v>
      </c>
      <c r="V103" s="147" t="s">
        <v>38</v>
      </c>
      <c r="W103" s="74" t="b">
        <v>0</v>
      </c>
      <c r="X103" s="74" t="b">
        <v>0</v>
      </c>
      <c r="Y103" s="74" t="b">
        <v>1</v>
      </c>
      <c r="Z103" s="148" t="str">
        <f>IFERROR(__xludf.DUMMYFUNCTION("""COMPUTED_VALUE"""),"#REF!")</f>
        <v>#REF!</v>
      </c>
      <c r="AA103" s="148" t="str">
        <f>IFERROR(__xludf.DUMMYFUNCTION("""COMPUTED_VALUE"""),"#REF!")</f>
        <v>#REF!</v>
      </c>
      <c r="AB103" s="148" t="str">
        <f>IFERROR(__xludf.DUMMYFUNCTION("""COMPUTED_VALUE"""),"#REF!")</f>
        <v>#REF!</v>
      </c>
      <c r="AC103" s="148"/>
      <c r="AD103" s="153">
        <v>46115.0</v>
      </c>
      <c r="AE103" s="148"/>
      <c r="AF103" s="148">
        <v>109645.0</v>
      </c>
      <c r="AG103" s="148" t="s">
        <v>941</v>
      </c>
      <c r="AH103" s="148"/>
      <c r="AI103" s="148" t="s">
        <v>939</v>
      </c>
      <c r="AJ103" s="148" t="e">
        <v>#REF!</v>
      </c>
      <c r="AK103" s="148" t="e">
        <v>#REF!</v>
      </c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</row>
    <row r="104" ht="14.25" customHeight="1">
      <c r="A104" s="152" t="s">
        <v>13</v>
      </c>
      <c r="B104" s="135" t="s">
        <v>942</v>
      </c>
      <c r="C104" s="77">
        <v>46116.0</v>
      </c>
      <c r="D104" s="229">
        <v>109598.0</v>
      </c>
      <c r="E104" s="225">
        <v>26.10391</v>
      </c>
      <c r="F104" s="60">
        <v>26.35534</v>
      </c>
      <c r="G104" s="62" t="s">
        <v>943</v>
      </c>
      <c r="H104" s="160" t="s">
        <v>208</v>
      </c>
      <c r="I104" s="155">
        <v>1.0</v>
      </c>
      <c r="J104" s="85">
        <v>6.1</v>
      </c>
      <c r="K104" s="80" t="s">
        <v>188</v>
      </c>
      <c r="L104" s="66" t="s">
        <v>944</v>
      </c>
      <c r="M104" s="156">
        <v>10.0</v>
      </c>
      <c r="N104" s="150">
        <v>0.524</v>
      </c>
      <c r="O104" s="87">
        <v>5.9952</v>
      </c>
      <c r="P104" s="142" t="s">
        <v>298</v>
      </c>
      <c r="Q104" s="143" t="s">
        <v>154</v>
      </c>
      <c r="R104" s="230" t="s">
        <v>931</v>
      </c>
      <c r="S104" s="158"/>
      <c r="T104" s="146">
        <f t="shared" si="11"/>
        <v>174</v>
      </c>
      <c r="U104" s="146">
        <f t="shared" ref="U104:U106" si="17">round((O104*48)+(10*N104),-1)</f>
        <v>290</v>
      </c>
      <c r="V104" s="147" t="s">
        <v>38</v>
      </c>
      <c r="W104" s="74" t="b">
        <v>0</v>
      </c>
      <c r="X104" s="74" t="b">
        <v>0</v>
      </c>
      <c r="Y104" s="74" t="b">
        <v>0</v>
      </c>
      <c r="Z104" s="148" t="str">
        <f>IFERROR(__xludf.DUMMYFUNCTION("""COMPUTED_VALUE"""),"#REF!")</f>
        <v>#REF!</v>
      </c>
      <c r="AA104" s="148" t="str">
        <f>IFERROR(__xludf.DUMMYFUNCTION("""COMPUTED_VALUE"""),"#REF!")</f>
        <v>#REF!</v>
      </c>
      <c r="AB104" s="148" t="str">
        <f>IFERROR(__xludf.DUMMYFUNCTION("""COMPUTED_VALUE"""),"#REF!")</f>
        <v>#REF!</v>
      </c>
      <c r="AC104" s="148"/>
      <c r="AD104" s="153">
        <v>46116.0</v>
      </c>
      <c r="AE104" s="148"/>
      <c r="AF104" s="148">
        <v>109598.0</v>
      </c>
      <c r="AG104" s="148" t="s">
        <v>945</v>
      </c>
      <c r="AH104" s="148"/>
      <c r="AI104" s="148" t="s">
        <v>943</v>
      </c>
      <c r="AJ104" s="148" t="e">
        <v>#REF!</v>
      </c>
      <c r="AK104" s="148" t="e">
        <v>#REF!</v>
      </c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</row>
    <row r="105" ht="14.25" customHeight="1">
      <c r="A105" s="152" t="s">
        <v>13</v>
      </c>
      <c r="B105" s="135" t="s">
        <v>942</v>
      </c>
      <c r="C105" s="77">
        <v>46116.0</v>
      </c>
      <c r="D105" s="227">
        <v>109599.0</v>
      </c>
      <c r="E105" s="228">
        <v>26.10393</v>
      </c>
      <c r="F105" s="60">
        <v>26.35535</v>
      </c>
      <c r="G105" s="62" t="s">
        <v>946</v>
      </c>
      <c r="H105" s="160" t="s">
        <v>208</v>
      </c>
      <c r="I105" s="155">
        <v>1.0</v>
      </c>
      <c r="J105" s="85">
        <v>3.68</v>
      </c>
      <c r="K105" s="80" t="s">
        <v>296</v>
      </c>
      <c r="L105" s="66" t="s">
        <v>947</v>
      </c>
      <c r="M105" s="156">
        <v>6.0</v>
      </c>
      <c r="N105" s="150">
        <v>0.525</v>
      </c>
      <c r="O105" s="87">
        <v>3.575</v>
      </c>
      <c r="P105" s="142" t="s">
        <v>298</v>
      </c>
      <c r="Q105" s="143" t="s">
        <v>154</v>
      </c>
      <c r="R105" s="226" t="s">
        <v>916</v>
      </c>
      <c r="S105" s="158"/>
      <c r="T105" s="146">
        <f t="shared" si="11"/>
        <v>108</v>
      </c>
      <c r="U105" s="146">
        <f t="shared" si="17"/>
        <v>180</v>
      </c>
      <c r="V105" s="147" t="s">
        <v>38</v>
      </c>
      <c r="W105" s="74" t="b">
        <v>0</v>
      </c>
      <c r="X105" s="74" t="b">
        <v>0</v>
      </c>
      <c r="Y105" s="74" t="b">
        <v>0</v>
      </c>
      <c r="Z105" s="148" t="str">
        <f>IFERROR(__xludf.DUMMYFUNCTION("""COMPUTED_VALUE"""),"#REF!")</f>
        <v>#REF!</v>
      </c>
      <c r="AA105" s="148" t="str">
        <f>IFERROR(__xludf.DUMMYFUNCTION("""COMPUTED_VALUE"""),"#REF!")</f>
        <v>#REF!</v>
      </c>
      <c r="AB105" s="148" t="str">
        <f>IFERROR(__xludf.DUMMYFUNCTION("""COMPUTED_VALUE"""),"#REF!")</f>
        <v>#REF!</v>
      </c>
      <c r="AC105" s="148"/>
      <c r="AD105" s="153">
        <v>46116.0</v>
      </c>
      <c r="AE105" s="148"/>
      <c r="AF105" s="148">
        <v>109599.0</v>
      </c>
      <c r="AG105" s="148" t="s">
        <v>948</v>
      </c>
      <c r="AH105" s="148"/>
      <c r="AI105" s="148" t="s">
        <v>946</v>
      </c>
      <c r="AJ105" s="148" t="e">
        <v>#REF!</v>
      </c>
      <c r="AK105" s="148" t="e">
        <v>#REF!</v>
      </c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</row>
    <row r="106" ht="14.25" customHeight="1">
      <c r="A106" s="152" t="s">
        <v>13</v>
      </c>
      <c r="B106" s="135" t="s">
        <v>942</v>
      </c>
      <c r="C106" s="77">
        <v>46116.0</v>
      </c>
      <c r="D106" s="229">
        <v>109600.0</v>
      </c>
      <c r="E106" s="225">
        <v>26.10393</v>
      </c>
      <c r="F106" s="60">
        <v>26.35536</v>
      </c>
      <c r="G106" s="62" t="s">
        <v>949</v>
      </c>
      <c r="H106" s="160" t="s">
        <v>208</v>
      </c>
      <c r="I106" s="155">
        <v>1.0</v>
      </c>
      <c r="J106" s="85">
        <v>3.62</v>
      </c>
      <c r="K106" s="80" t="s">
        <v>296</v>
      </c>
      <c r="L106" s="66" t="s">
        <v>950</v>
      </c>
      <c r="M106" s="156">
        <v>6.0</v>
      </c>
      <c r="N106" s="150">
        <v>0.522</v>
      </c>
      <c r="O106" s="87">
        <v>3.5156</v>
      </c>
      <c r="P106" s="142" t="s">
        <v>298</v>
      </c>
      <c r="Q106" s="143" t="s">
        <v>154</v>
      </c>
      <c r="R106" s="226" t="s">
        <v>916</v>
      </c>
      <c r="S106" s="158"/>
      <c r="T106" s="146">
        <f t="shared" si="11"/>
        <v>102</v>
      </c>
      <c r="U106" s="146">
        <f t="shared" si="17"/>
        <v>170</v>
      </c>
      <c r="V106" s="147" t="s">
        <v>38</v>
      </c>
      <c r="W106" s="74" t="b">
        <v>0</v>
      </c>
      <c r="X106" s="74" t="b">
        <v>0</v>
      </c>
      <c r="Y106" s="74" t="b">
        <v>0</v>
      </c>
      <c r="Z106" s="148" t="str">
        <f>IFERROR(__xludf.DUMMYFUNCTION("""COMPUTED_VALUE"""),"#REF!")</f>
        <v>#REF!</v>
      </c>
      <c r="AA106" s="148" t="str">
        <f>IFERROR(__xludf.DUMMYFUNCTION("""COMPUTED_VALUE"""),"#REF!")</f>
        <v>#REF!</v>
      </c>
      <c r="AB106" s="148" t="str">
        <f>IFERROR(__xludf.DUMMYFUNCTION("""COMPUTED_VALUE"""),"#REF!")</f>
        <v>#REF!</v>
      </c>
      <c r="AC106" s="148"/>
      <c r="AD106" s="153">
        <v>46116.0</v>
      </c>
      <c r="AE106" s="148"/>
      <c r="AF106" s="148">
        <v>109600.0</v>
      </c>
      <c r="AG106" s="148" t="s">
        <v>951</v>
      </c>
      <c r="AH106" s="148"/>
      <c r="AI106" s="148" t="s">
        <v>949</v>
      </c>
      <c r="AJ106" s="148" t="e">
        <v>#REF!</v>
      </c>
      <c r="AK106" s="148" t="e">
        <v>#REF!</v>
      </c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</row>
    <row r="107" ht="14.25" customHeight="1">
      <c r="A107" s="152" t="s">
        <v>13</v>
      </c>
      <c r="B107" s="135" t="s">
        <v>952</v>
      </c>
      <c r="C107" s="77">
        <v>46116.0</v>
      </c>
      <c r="D107" s="227">
        <v>109646.0</v>
      </c>
      <c r="E107" s="228">
        <v>26.10597</v>
      </c>
      <c r="F107" s="60">
        <v>26.36071</v>
      </c>
      <c r="G107" s="62" t="s">
        <v>953</v>
      </c>
      <c r="H107" s="63" t="s">
        <v>45</v>
      </c>
      <c r="I107" s="155">
        <v>1.0</v>
      </c>
      <c r="J107" s="85">
        <v>3.2</v>
      </c>
      <c r="K107" s="80" t="s">
        <v>269</v>
      </c>
      <c r="L107" s="66" t="s">
        <v>516</v>
      </c>
      <c r="M107" s="156"/>
      <c r="N107" s="150"/>
      <c r="O107" s="69">
        <f t="shared" ref="O107:O114" si="18">J107-(N107*0.2)</f>
        <v>3.2</v>
      </c>
      <c r="P107" s="151" t="s">
        <v>153</v>
      </c>
      <c r="Q107" s="143" t="s">
        <v>154</v>
      </c>
      <c r="R107" s="74" t="s">
        <v>850</v>
      </c>
      <c r="S107" s="158"/>
      <c r="T107" s="146">
        <f t="shared" si="11"/>
        <v>168</v>
      </c>
      <c r="U107" s="146">
        <f>round((O107*89)+(550*N107),-1)</f>
        <v>280</v>
      </c>
      <c r="V107" s="147" t="s">
        <v>38</v>
      </c>
      <c r="W107" s="74" t="b">
        <v>0</v>
      </c>
      <c r="X107" s="74" t="b">
        <v>0</v>
      </c>
      <c r="Y107" s="74" t="b">
        <v>0</v>
      </c>
      <c r="Z107" s="148" t="str">
        <f>IFERROR(__xludf.DUMMYFUNCTION("""COMPUTED_VALUE"""),"#REF!")</f>
        <v>#REF!</v>
      </c>
      <c r="AA107" s="148" t="str">
        <f>IFERROR(__xludf.DUMMYFUNCTION("""COMPUTED_VALUE"""),"#REF!")</f>
        <v>#REF!</v>
      </c>
      <c r="AB107" s="148" t="str">
        <f>IFERROR(__xludf.DUMMYFUNCTION("""COMPUTED_VALUE"""),"#REF!")</f>
        <v>#REF!</v>
      </c>
      <c r="AC107" s="148"/>
      <c r="AD107" s="153">
        <v>46116.0</v>
      </c>
      <c r="AE107" s="148"/>
      <c r="AF107" s="148">
        <v>109646.0</v>
      </c>
      <c r="AG107" s="148" t="s">
        <v>954</v>
      </c>
      <c r="AH107" s="148"/>
      <c r="AI107" s="148" t="s">
        <v>953</v>
      </c>
      <c r="AJ107" s="148" t="e">
        <v>#REF!</v>
      </c>
      <c r="AK107" s="148" t="e">
        <v>#REF!</v>
      </c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</row>
    <row r="108" ht="14.25" customHeight="1">
      <c r="A108" s="152" t="s">
        <v>13</v>
      </c>
      <c r="B108" s="135" t="s">
        <v>955</v>
      </c>
      <c r="C108" s="77">
        <v>46116.0</v>
      </c>
      <c r="D108" s="229">
        <v>109647.0</v>
      </c>
      <c r="E108" s="225">
        <v>26.10551</v>
      </c>
      <c r="F108" s="60">
        <v>26.35922</v>
      </c>
      <c r="G108" s="90" t="s">
        <v>956</v>
      </c>
      <c r="H108" s="160" t="s">
        <v>208</v>
      </c>
      <c r="I108" s="155">
        <v>1.0</v>
      </c>
      <c r="J108" s="175">
        <v>7.31</v>
      </c>
      <c r="K108" s="80" t="s">
        <v>215</v>
      </c>
      <c r="L108" s="66" t="s">
        <v>957</v>
      </c>
      <c r="M108" s="156"/>
      <c r="N108" s="150"/>
      <c r="O108" s="69">
        <f t="shared" si="18"/>
        <v>7.31</v>
      </c>
      <c r="P108" s="151" t="s">
        <v>153</v>
      </c>
      <c r="Q108" s="143" t="s">
        <v>154</v>
      </c>
      <c r="R108" s="74" t="s">
        <v>850</v>
      </c>
      <c r="S108" s="158"/>
      <c r="T108" s="146">
        <f t="shared" si="11"/>
        <v>210</v>
      </c>
      <c r="U108" s="146">
        <f>round((O108*48)+(10*N108),-1)</f>
        <v>350</v>
      </c>
      <c r="V108" s="147" t="s">
        <v>38</v>
      </c>
      <c r="W108" s="74" t="b">
        <v>0</v>
      </c>
      <c r="X108" s="74" t="b">
        <v>0</v>
      </c>
      <c r="Y108" s="74" t="b">
        <v>0</v>
      </c>
      <c r="Z108" s="148" t="str">
        <f>IFERROR(__xludf.DUMMYFUNCTION("""COMPUTED_VALUE"""),"#REF!")</f>
        <v>#REF!</v>
      </c>
      <c r="AA108" s="148" t="str">
        <f>IFERROR(__xludf.DUMMYFUNCTION("""COMPUTED_VALUE"""),"#REF!")</f>
        <v>#REF!</v>
      </c>
      <c r="AB108" s="148" t="str">
        <f>IFERROR(__xludf.DUMMYFUNCTION("""COMPUTED_VALUE"""),"#REF!")</f>
        <v>#REF!</v>
      </c>
      <c r="AC108" s="148"/>
      <c r="AD108" s="153">
        <v>46116.0</v>
      </c>
      <c r="AE108" s="148"/>
      <c r="AF108" s="148">
        <v>109647.0</v>
      </c>
      <c r="AG108" s="148" t="s">
        <v>958</v>
      </c>
      <c r="AH108" s="148"/>
      <c r="AI108" s="148" t="s">
        <v>956</v>
      </c>
      <c r="AJ108" s="148" t="e">
        <v>#REF!</v>
      </c>
      <c r="AK108" s="148" t="e">
        <v>#REF!</v>
      </c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</row>
    <row r="109" ht="14.25" customHeight="1">
      <c r="A109" s="152" t="s">
        <v>13</v>
      </c>
      <c r="B109" s="135" t="s">
        <v>959</v>
      </c>
      <c r="C109" s="77">
        <v>46123.0</v>
      </c>
      <c r="D109" s="231">
        <v>109648.0</v>
      </c>
      <c r="E109" s="228">
        <v>26.10491</v>
      </c>
      <c r="F109" s="232">
        <v>26.35691</v>
      </c>
      <c r="G109" s="62" t="s">
        <v>960</v>
      </c>
      <c r="H109" s="233" t="s">
        <v>961</v>
      </c>
      <c r="I109" s="155">
        <v>1.0</v>
      </c>
      <c r="J109" s="175">
        <v>2.98</v>
      </c>
      <c r="K109" s="65" t="s">
        <v>57</v>
      </c>
      <c r="L109" s="211" t="s">
        <v>962</v>
      </c>
      <c r="M109" s="156"/>
      <c r="N109" s="150"/>
      <c r="O109" s="69">
        <f t="shared" si="18"/>
        <v>2.98</v>
      </c>
      <c r="P109" s="151" t="s">
        <v>153</v>
      </c>
      <c r="Q109" s="143" t="s">
        <v>154</v>
      </c>
      <c r="R109" s="74" t="s">
        <v>853</v>
      </c>
      <c r="S109" s="158"/>
      <c r="T109" s="146">
        <f t="shared" si="11"/>
        <v>126</v>
      </c>
      <c r="U109" s="146">
        <f>round((O109*69)+(550*N109),-1)</f>
        <v>210</v>
      </c>
      <c r="V109" s="147" t="s">
        <v>38</v>
      </c>
      <c r="W109" s="74" t="b">
        <v>0</v>
      </c>
      <c r="X109" s="74" t="b">
        <v>0</v>
      </c>
      <c r="Y109" s="74" t="b">
        <v>1</v>
      </c>
      <c r="Z109" s="148" t="str">
        <f>IFERROR(__xludf.DUMMYFUNCTION("""COMPUTED_VALUE"""),"#REF!")</f>
        <v>#REF!</v>
      </c>
      <c r="AA109" s="148" t="str">
        <f>IFERROR(__xludf.DUMMYFUNCTION("""COMPUTED_VALUE"""),"#REF!")</f>
        <v>#REF!</v>
      </c>
      <c r="AB109" s="148" t="str">
        <f>IFERROR(__xludf.DUMMYFUNCTION("""COMPUTED_VALUE"""),"#REF!")</f>
        <v>#REF!</v>
      </c>
      <c r="AC109" s="148"/>
      <c r="AD109" s="153">
        <v>46123.0</v>
      </c>
      <c r="AE109" s="148"/>
      <c r="AF109" s="47">
        <v>109648.0</v>
      </c>
      <c r="AG109" s="148" t="s">
        <v>963</v>
      </c>
      <c r="AH109" s="148"/>
      <c r="AI109" s="148" t="s">
        <v>960</v>
      </c>
      <c r="AJ109" s="148" t="e">
        <v>#REF!</v>
      </c>
      <c r="AK109" s="148" t="e">
        <v>#REF!</v>
      </c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</row>
    <row r="110" ht="14.25" customHeight="1">
      <c r="A110" s="152" t="s">
        <v>13</v>
      </c>
      <c r="B110" s="135" t="s">
        <v>959</v>
      </c>
      <c r="C110" s="77">
        <v>46123.0</v>
      </c>
      <c r="D110" s="234">
        <v>109649.0</v>
      </c>
      <c r="E110" s="225">
        <v>26.10544</v>
      </c>
      <c r="F110" s="232">
        <v>26.3588</v>
      </c>
      <c r="G110" s="62" t="s">
        <v>964</v>
      </c>
      <c r="H110" s="63" t="s">
        <v>34</v>
      </c>
      <c r="I110" s="155">
        <v>1.0</v>
      </c>
      <c r="J110" s="175">
        <v>5.18</v>
      </c>
      <c r="K110" s="80" t="s">
        <v>269</v>
      </c>
      <c r="L110" s="211" t="s">
        <v>965</v>
      </c>
      <c r="M110" s="156"/>
      <c r="N110" s="150"/>
      <c r="O110" s="69">
        <f t="shared" si="18"/>
        <v>5.18</v>
      </c>
      <c r="P110" s="151" t="s">
        <v>153</v>
      </c>
      <c r="Q110" s="143" t="s">
        <v>154</v>
      </c>
      <c r="R110" s="74" t="s">
        <v>853</v>
      </c>
      <c r="S110" s="158"/>
      <c r="T110" s="146">
        <f t="shared" si="11"/>
        <v>276</v>
      </c>
      <c r="U110" s="146">
        <f>round((O110*89)+(550*N110),-1)</f>
        <v>460</v>
      </c>
      <c r="V110" s="147" t="s">
        <v>38</v>
      </c>
      <c r="W110" s="74" t="b">
        <v>0</v>
      </c>
      <c r="X110" s="74" t="b">
        <v>0</v>
      </c>
      <c r="Y110" s="74" t="b">
        <v>1</v>
      </c>
      <c r="Z110" s="148" t="str">
        <f>IFERROR(__xludf.DUMMYFUNCTION("""COMPUTED_VALUE"""),"#REF!")</f>
        <v>#REF!</v>
      </c>
      <c r="AA110" s="148" t="str">
        <f>IFERROR(__xludf.DUMMYFUNCTION("""COMPUTED_VALUE"""),"#REF!")</f>
        <v>#REF!</v>
      </c>
      <c r="AB110" s="148" t="str">
        <f>IFERROR(__xludf.DUMMYFUNCTION("""COMPUTED_VALUE"""),"#REF!")</f>
        <v>#REF!</v>
      </c>
      <c r="AC110" s="148"/>
      <c r="AD110" s="153">
        <v>46123.0</v>
      </c>
      <c r="AE110" s="148"/>
      <c r="AF110" s="47">
        <v>109649.0</v>
      </c>
      <c r="AG110" s="148" t="s">
        <v>966</v>
      </c>
      <c r="AH110" s="148"/>
      <c r="AI110" s="148" t="s">
        <v>964</v>
      </c>
      <c r="AJ110" s="148" t="e">
        <v>#REF!</v>
      </c>
      <c r="AK110" s="148" t="e">
        <v>#REF!</v>
      </c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</row>
    <row r="111" ht="14.25" customHeight="1">
      <c r="A111" s="152" t="s">
        <v>13</v>
      </c>
      <c r="B111" s="135" t="s">
        <v>959</v>
      </c>
      <c r="C111" s="77">
        <v>46123.0</v>
      </c>
      <c r="D111" s="231">
        <v>109650.0</v>
      </c>
      <c r="E111" s="228">
        <v>26.10544</v>
      </c>
      <c r="F111" s="232">
        <v>26.35879</v>
      </c>
      <c r="G111" s="62" t="s">
        <v>967</v>
      </c>
      <c r="H111" s="63" t="s">
        <v>34</v>
      </c>
      <c r="I111" s="155">
        <v>1.0</v>
      </c>
      <c r="J111" s="175">
        <v>2.23</v>
      </c>
      <c r="K111" s="80" t="s">
        <v>296</v>
      </c>
      <c r="L111" s="211" t="s">
        <v>968</v>
      </c>
      <c r="M111" s="235">
        <v>13.0</v>
      </c>
      <c r="N111" s="236">
        <v>0.452</v>
      </c>
      <c r="O111" s="69">
        <f t="shared" si="18"/>
        <v>2.1396</v>
      </c>
      <c r="P111" s="151" t="s">
        <v>153</v>
      </c>
      <c r="Q111" s="143" t="s">
        <v>154</v>
      </c>
      <c r="R111" s="74" t="s">
        <v>853</v>
      </c>
      <c r="S111" s="158"/>
      <c r="T111" s="146">
        <f t="shared" si="11"/>
        <v>114</v>
      </c>
      <c r="U111" s="146">
        <f>round((O111*89)+(10*N111),-1)</f>
        <v>190</v>
      </c>
      <c r="V111" s="147" t="s">
        <v>38</v>
      </c>
      <c r="W111" s="74" t="b">
        <v>1</v>
      </c>
      <c r="X111" s="74" t="b">
        <v>0</v>
      </c>
      <c r="Y111" s="74" t="b">
        <v>1</v>
      </c>
      <c r="Z111" s="148" t="str">
        <f>IFERROR(__xludf.DUMMYFUNCTION("""COMPUTED_VALUE"""),"#REF!")</f>
        <v>#REF!</v>
      </c>
      <c r="AA111" s="148" t="str">
        <f>IFERROR(__xludf.DUMMYFUNCTION("""COMPUTED_VALUE"""),"#REF!")</f>
        <v>#REF!</v>
      </c>
      <c r="AB111" s="148" t="str">
        <f>IFERROR(__xludf.DUMMYFUNCTION("""COMPUTED_VALUE"""),"#REF!")</f>
        <v>#REF!</v>
      </c>
      <c r="AC111" s="148"/>
      <c r="AD111" s="153">
        <v>46123.0</v>
      </c>
      <c r="AE111" s="148"/>
      <c r="AF111" s="47">
        <v>109650.0</v>
      </c>
      <c r="AG111" s="148" t="s">
        <v>969</v>
      </c>
      <c r="AH111" s="148"/>
      <c r="AI111" s="148" t="s">
        <v>967</v>
      </c>
      <c r="AJ111" s="148" t="e">
        <v>#REF!</v>
      </c>
      <c r="AK111" s="148" t="e">
        <v>#REF!</v>
      </c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</row>
    <row r="112" ht="14.25" customHeight="1">
      <c r="A112" s="134" t="s">
        <v>13</v>
      </c>
      <c r="B112" s="135" t="s">
        <v>970</v>
      </c>
      <c r="C112" s="77">
        <v>46123.0</v>
      </c>
      <c r="D112" s="224" t="s">
        <v>971</v>
      </c>
      <c r="E112" s="237"/>
      <c r="F112" s="60"/>
      <c r="G112" s="62" t="s">
        <v>972</v>
      </c>
      <c r="H112" s="91" t="s">
        <v>62</v>
      </c>
      <c r="I112" s="155">
        <v>1.0</v>
      </c>
      <c r="J112" s="206">
        <v>15.7</v>
      </c>
      <c r="K112" s="65" t="s">
        <v>273</v>
      </c>
      <c r="L112" s="66"/>
      <c r="M112" s="81"/>
      <c r="N112" s="150"/>
      <c r="O112" s="69">
        <f t="shared" si="18"/>
        <v>15.7</v>
      </c>
      <c r="P112" s="142" t="s">
        <v>162</v>
      </c>
      <c r="Q112" s="143" t="s">
        <v>154</v>
      </c>
      <c r="R112" s="74" t="s">
        <v>853</v>
      </c>
      <c r="S112" s="158"/>
      <c r="T112" s="146">
        <f t="shared" si="11"/>
        <v>840</v>
      </c>
      <c r="U112" s="146">
        <f t="shared" ref="U112:U115" si="19">round((O112*89)+(550*N112),-1)</f>
        <v>1400</v>
      </c>
      <c r="V112" s="147" t="s">
        <v>38</v>
      </c>
      <c r="W112" s="74" t="b">
        <v>0</v>
      </c>
      <c r="X112" s="74" t="b">
        <v>0</v>
      </c>
      <c r="Y112" s="74" t="b">
        <v>1</v>
      </c>
      <c r="Z112" s="148" t="str">
        <f>IFERROR(__xludf.DUMMYFUNCTION("""COMPUTED_VALUE"""),"")</f>
        <v/>
      </c>
      <c r="AA112" s="148" t="str">
        <f>IFERROR(__xludf.DUMMYFUNCTION("""COMPUTED_VALUE"""),"")</f>
        <v/>
      </c>
      <c r="AB112" s="148" t="str">
        <f>IFERROR(__xludf.DUMMYFUNCTION("""COMPUTED_VALUE"""),"")</f>
        <v/>
      </c>
      <c r="AC112" s="148"/>
      <c r="AD112" s="153">
        <v>46123.0</v>
      </c>
      <c r="AE112" s="148"/>
      <c r="AF112" s="148" t="s">
        <v>971</v>
      </c>
      <c r="AG112" s="148" t="s">
        <v>613</v>
      </c>
      <c r="AH112" s="148"/>
      <c r="AI112" s="148" t="s">
        <v>972</v>
      </c>
      <c r="AJ112" s="148" t="s">
        <v>614</v>
      </c>
      <c r="AK112" s="148" t="s">
        <v>614</v>
      </c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</row>
    <row r="113" ht="14.25" customHeight="1">
      <c r="A113" s="134" t="s">
        <v>13</v>
      </c>
      <c r="B113" s="135" t="s">
        <v>970</v>
      </c>
      <c r="C113" s="77">
        <v>46123.0</v>
      </c>
      <c r="D113" s="238" t="s">
        <v>973</v>
      </c>
      <c r="E113" s="239"/>
      <c r="F113" s="60"/>
      <c r="G113" s="62" t="s">
        <v>974</v>
      </c>
      <c r="H113" s="91" t="s">
        <v>62</v>
      </c>
      <c r="I113" s="155">
        <v>1.0</v>
      </c>
      <c r="J113" s="206">
        <v>15.17</v>
      </c>
      <c r="K113" s="65" t="s">
        <v>273</v>
      </c>
      <c r="L113" s="66"/>
      <c r="M113" s="81"/>
      <c r="N113" s="167"/>
      <c r="O113" s="69">
        <f t="shared" si="18"/>
        <v>15.17</v>
      </c>
      <c r="P113" s="142" t="s">
        <v>162</v>
      </c>
      <c r="Q113" s="143" t="s">
        <v>154</v>
      </c>
      <c r="R113" s="74" t="s">
        <v>853</v>
      </c>
      <c r="S113" s="158"/>
      <c r="T113" s="146">
        <f t="shared" si="11"/>
        <v>810</v>
      </c>
      <c r="U113" s="146">
        <f t="shared" si="19"/>
        <v>1350</v>
      </c>
      <c r="V113" s="147" t="s">
        <v>38</v>
      </c>
      <c r="W113" s="74" t="b">
        <v>0</v>
      </c>
      <c r="X113" s="74" t="b">
        <v>0</v>
      </c>
      <c r="Y113" s="74" t="b">
        <v>1</v>
      </c>
      <c r="Z113" s="148" t="str">
        <f>IFERROR(__xludf.DUMMYFUNCTION("""COMPUTED_VALUE"""),"")</f>
        <v/>
      </c>
      <c r="AA113" s="148" t="str">
        <f>IFERROR(__xludf.DUMMYFUNCTION("""COMPUTED_VALUE"""),"")</f>
        <v/>
      </c>
      <c r="AB113" s="148" t="str">
        <f>IFERROR(__xludf.DUMMYFUNCTION("""COMPUTED_VALUE"""),"")</f>
        <v/>
      </c>
      <c r="AC113" s="148"/>
      <c r="AD113" s="153">
        <v>46123.0</v>
      </c>
      <c r="AE113" s="148"/>
      <c r="AF113" s="148" t="s">
        <v>973</v>
      </c>
      <c r="AG113" s="148" t="s">
        <v>613</v>
      </c>
      <c r="AH113" s="148"/>
      <c r="AI113" s="148" t="s">
        <v>974</v>
      </c>
      <c r="AJ113" s="148" t="s">
        <v>614</v>
      </c>
      <c r="AK113" s="148" t="s">
        <v>614</v>
      </c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</row>
    <row r="114" ht="14.25" customHeight="1">
      <c r="A114" s="134" t="s">
        <v>13</v>
      </c>
      <c r="B114" s="135" t="s">
        <v>970</v>
      </c>
      <c r="C114" s="77">
        <v>46123.0</v>
      </c>
      <c r="D114" s="224" t="s">
        <v>975</v>
      </c>
      <c r="E114" s="237"/>
      <c r="F114" s="60"/>
      <c r="G114" s="62" t="s">
        <v>976</v>
      </c>
      <c r="H114" s="91" t="s">
        <v>62</v>
      </c>
      <c r="I114" s="155">
        <v>1.0</v>
      </c>
      <c r="J114" s="206">
        <v>19.3</v>
      </c>
      <c r="K114" s="80" t="s">
        <v>160</v>
      </c>
      <c r="L114" s="66"/>
      <c r="M114" s="81"/>
      <c r="N114" s="167"/>
      <c r="O114" s="69">
        <f t="shared" si="18"/>
        <v>19.3</v>
      </c>
      <c r="P114" s="142" t="s">
        <v>162</v>
      </c>
      <c r="Q114" s="143" t="s">
        <v>154</v>
      </c>
      <c r="R114" s="74" t="s">
        <v>853</v>
      </c>
      <c r="S114" s="158"/>
      <c r="T114" s="146">
        <f t="shared" si="11"/>
        <v>1032</v>
      </c>
      <c r="U114" s="146">
        <f t="shared" si="19"/>
        <v>1720</v>
      </c>
      <c r="V114" s="147" t="s">
        <v>38</v>
      </c>
      <c r="W114" s="74" t="b">
        <v>0</v>
      </c>
      <c r="X114" s="74" t="b">
        <v>0</v>
      </c>
      <c r="Y114" s="74" t="b">
        <v>1</v>
      </c>
      <c r="Z114" s="148" t="str">
        <f>IFERROR(__xludf.DUMMYFUNCTION("""COMPUTED_VALUE"""),"")</f>
        <v/>
      </c>
      <c r="AA114" s="148" t="str">
        <f>IFERROR(__xludf.DUMMYFUNCTION("""COMPUTED_VALUE"""),"")</f>
        <v/>
      </c>
      <c r="AB114" s="148" t="str">
        <f>IFERROR(__xludf.DUMMYFUNCTION("""COMPUTED_VALUE"""),"")</f>
        <v/>
      </c>
      <c r="AC114" s="148"/>
      <c r="AD114" s="153">
        <v>46123.0</v>
      </c>
      <c r="AE114" s="148"/>
      <c r="AF114" s="148" t="s">
        <v>975</v>
      </c>
      <c r="AG114" s="148" t="s">
        <v>613</v>
      </c>
      <c r="AH114" s="148"/>
      <c r="AI114" s="148" t="s">
        <v>976</v>
      </c>
      <c r="AJ114" s="148" t="s">
        <v>614</v>
      </c>
      <c r="AK114" s="148" t="s">
        <v>614</v>
      </c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</row>
    <row r="115" ht="14.25" customHeight="1">
      <c r="A115" s="152" t="s">
        <v>13</v>
      </c>
      <c r="B115" s="135" t="s">
        <v>977</v>
      </c>
      <c r="C115" s="77">
        <v>46125.0</v>
      </c>
      <c r="D115" s="240">
        <v>109488.0</v>
      </c>
      <c r="E115" s="239">
        <v>26.10556</v>
      </c>
      <c r="F115" s="60">
        <v>26.35946</v>
      </c>
      <c r="G115" s="62" t="s">
        <v>978</v>
      </c>
      <c r="H115" s="63" t="s">
        <v>34</v>
      </c>
      <c r="I115" s="138">
        <v>1.0</v>
      </c>
      <c r="J115" s="79">
        <v>36.2</v>
      </c>
      <c r="K115" s="80" t="s">
        <v>160</v>
      </c>
      <c r="L115" s="66" t="s">
        <v>979</v>
      </c>
      <c r="M115" s="81"/>
      <c r="N115" s="150"/>
      <c r="O115" s="69">
        <v>36.2</v>
      </c>
      <c r="P115" s="151" t="s">
        <v>153</v>
      </c>
      <c r="Q115" s="143" t="s">
        <v>154</v>
      </c>
      <c r="R115" s="74" t="s">
        <v>853</v>
      </c>
      <c r="S115" s="158"/>
      <c r="T115" s="146">
        <f t="shared" si="11"/>
        <v>1932</v>
      </c>
      <c r="U115" s="146">
        <f t="shared" si="19"/>
        <v>3220</v>
      </c>
      <c r="V115" s="147" t="s">
        <v>38</v>
      </c>
      <c r="W115" s="74" t="b">
        <v>0</v>
      </c>
      <c r="X115" s="74" t="b">
        <v>0</v>
      </c>
      <c r="Y115" s="74" t="b">
        <v>1</v>
      </c>
      <c r="Z115" s="148" t="str">
        <f>IFERROR(__xludf.DUMMYFUNCTION("""COMPUTED_VALUE"""),"#REF!")</f>
        <v>#REF!</v>
      </c>
      <c r="AA115" s="148" t="str">
        <f>IFERROR(__xludf.DUMMYFUNCTION("""COMPUTED_VALUE"""),"#REF!")</f>
        <v>#REF!</v>
      </c>
      <c r="AB115" s="148" t="str">
        <f>IFERROR(__xludf.DUMMYFUNCTION("""COMPUTED_VALUE"""),"#REF!")</f>
        <v>#REF!</v>
      </c>
      <c r="AC115" s="148"/>
      <c r="AD115" s="153">
        <v>46125.0</v>
      </c>
      <c r="AE115" s="148"/>
      <c r="AF115" s="148">
        <v>109488.0</v>
      </c>
      <c r="AG115" s="148" t="s">
        <v>980</v>
      </c>
      <c r="AH115" s="148"/>
      <c r="AI115" s="148" t="s">
        <v>978</v>
      </c>
      <c r="AJ115" s="148" t="e">
        <v>#REF!</v>
      </c>
      <c r="AK115" s="148" t="e">
        <v>#REF!</v>
      </c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</row>
    <row r="116" ht="14.25" customHeight="1">
      <c r="A116" s="152" t="s">
        <v>13</v>
      </c>
      <c r="B116" s="135" t="s">
        <v>977</v>
      </c>
      <c r="C116" s="77">
        <v>46125.0</v>
      </c>
      <c r="D116" s="241">
        <v>109489.0</v>
      </c>
      <c r="E116" s="237">
        <v>26.10619</v>
      </c>
      <c r="F116" s="60">
        <v>26.36103</v>
      </c>
      <c r="G116" s="62" t="s">
        <v>981</v>
      </c>
      <c r="H116" s="63" t="s">
        <v>45</v>
      </c>
      <c r="I116" s="138">
        <v>1.0</v>
      </c>
      <c r="J116" s="79">
        <v>10.7</v>
      </c>
      <c r="K116" s="80" t="s">
        <v>160</v>
      </c>
      <c r="L116" s="66" t="s">
        <v>546</v>
      </c>
      <c r="M116" s="81">
        <v>5.0</v>
      </c>
      <c r="N116" s="150">
        <v>9.935</v>
      </c>
      <c r="O116" s="69">
        <v>8.713</v>
      </c>
      <c r="P116" s="151" t="s">
        <v>153</v>
      </c>
      <c r="Q116" s="143" t="s">
        <v>154</v>
      </c>
      <c r="R116" s="74" t="s">
        <v>853</v>
      </c>
      <c r="S116" s="158"/>
      <c r="T116" s="146">
        <f t="shared" si="11"/>
        <v>468</v>
      </c>
      <c r="U116" s="146">
        <f>round((O116*89)+(0.5*N116),-1)</f>
        <v>780</v>
      </c>
      <c r="V116" s="147" t="s">
        <v>38</v>
      </c>
      <c r="W116" s="74" t="b">
        <v>0</v>
      </c>
      <c r="X116" s="74" t="b">
        <v>0</v>
      </c>
      <c r="Y116" s="74" t="b">
        <v>1</v>
      </c>
      <c r="Z116" s="148" t="str">
        <f>IFERROR(__xludf.DUMMYFUNCTION("""COMPUTED_VALUE"""),"#REF!")</f>
        <v>#REF!</v>
      </c>
      <c r="AA116" s="148" t="str">
        <f>IFERROR(__xludf.DUMMYFUNCTION("""COMPUTED_VALUE"""),"#REF!")</f>
        <v>#REF!</v>
      </c>
      <c r="AB116" s="148" t="str">
        <f>IFERROR(__xludf.DUMMYFUNCTION("""COMPUTED_VALUE"""),"#REF!")</f>
        <v>#REF!</v>
      </c>
      <c r="AC116" s="148"/>
      <c r="AD116" s="153">
        <v>46125.0</v>
      </c>
      <c r="AE116" s="148"/>
      <c r="AF116" s="148">
        <v>109489.0</v>
      </c>
      <c r="AG116" s="148" t="s">
        <v>982</v>
      </c>
      <c r="AH116" s="148"/>
      <c r="AI116" s="148" t="s">
        <v>981</v>
      </c>
      <c r="AJ116" s="148" t="e">
        <v>#REF!</v>
      </c>
      <c r="AK116" s="148" t="e">
        <v>#REF!</v>
      </c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</row>
    <row r="117" ht="14.25" customHeight="1">
      <c r="A117" s="152" t="s">
        <v>13</v>
      </c>
      <c r="B117" s="135" t="s">
        <v>977</v>
      </c>
      <c r="C117" s="77">
        <v>46125.0</v>
      </c>
      <c r="D117" s="240">
        <v>109490.0</v>
      </c>
      <c r="E117" s="239">
        <v>25.10258</v>
      </c>
      <c r="F117" s="60">
        <v>26.35145</v>
      </c>
      <c r="G117" s="90" t="s">
        <v>983</v>
      </c>
      <c r="H117" s="63" t="s">
        <v>34</v>
      </c>
      <c r="I117" s="138">
        <v>1.0</v>
      </c>
      <c r="J117" s="79">
        <v>5.17</v>
      </c>
      <c r="K117" s="80" t="s">
        <v>296</v>
      </c>
      <c r="L117" s="66" t="s">
        <v>984</v>
      </c>
      <c r="M117" s="81">
        <v>10.0</v>
      </c>
      <c r="N117" s="150">
        <v>0.557</v>
      </c>
      <c r="O117" s="69">
        <v>5.0586</v>
      </c>
      <c r="P117" s="151" t="s">
        <v>162</v>
      </c>
      <c r="Q117" s="143" t="s">
        <v>154</v>
      </c>
      <c r="R117" s="74" t="s">
        <v>853</v>
      </c>
      <c r="S117" s="158"/>
      <c r="T117" s="146">
        <f t="shared" si="11"/>
        <v>276</v>
      </c>
      <c r="U117" s="146">
        <f>round((O117*89)+(10*N117),-1)</f>
        <v>460</v>
      </c>
      <c r="V117" s="147" t="s">
        <v>38</v>
      </c>
      <c r="W117" s="74" t="b">
        <v>0</v>
      </c>
      <c r="X117" s="74" t="b">
        <v>0</v>
      </c>
      <c r="Y117" s="74" t="b">
        <v>1</v>
      </c>
      <c r="Z117" s="148" t="str">
        <f>IFERROR(__xludf.DUMMYFUNCTION("""COMPUTED_VALUE"""),"#REF!")</f>
        <v>#REF!</v>
      </c>
      <c r="AA117" s="148" t="str">
        <f>IFERROR(__xludf.DUMMYFUNCTION("""COMPUTED_VALUE"""),"#REF!")</f>
        <v>#REF!</v>
      </c>
      <c r="AB117" s="148" t="str">
        <f>IFERROR(__xludf.DUMMYFUNCTION("""COMPUTED_VALUE"""),"#REF!")</f>
        <v>#REF!</v>
      </c>
      <c r="AC117" s="148"/>
      <c r="AD117" s="153">
        <v>46125.0</v>
      </c>
      <c r="AE117" s="148"/>
      <c r="AF117" s="148">
        <v>109490.0</v>
      </c>
      <c r="AG117" s="148" t="s">
        <v>985</v>
      </c>
      <c r="AH117" s="148"/>
      <c r="AI117" s="148" t="s">
        <v>983</v>
      </c>
      <c r="AJ117" s="148" t="e">
        <v>#REF!</v>
      </c>
      <c r="AK117" s="148" t="e">
        <v>#REF!</v>
      </c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</row>
    <row r="118" ht="14.25" customHeight="1">
      <c r="A118" s="152" t="s">
        <v>13</v>
      </c>
      <c r="B118" s="135" t="s">
        <v>977</v>
      </c>
      <c r="C118" s="77">
        <v>46125.0</v>
      </c>
      <c r="D118" s="229">
        <v>109496.0</v>
      </c>
      <c r="E118" s="242">
        <v>25.93</v>
      </c>
      <c r="F118" s="60">
        <v>25.32279</v>
      </c>
      <c r="G118" s="62" t="s">
        <v>986</v>
      </c>
      <c r="H118" s="63" t="s">
        <v>34</v>
      </c>
      <c r="I118" s="138">
        <v>1.0</v>
      </c>
      <c r="J118" s="79">
        <v>0.82</v>
      </c>
      <c r="K118" s="80" t="s">
        <v>177</v>
      </c>
      <c r="L118" s="66" t="s">
        <v>987</v>
      </c>
      <c r="M118" s="81"/>
      <c r="N118" s="150"/>
      <c r="O118" s="69">
        <v>0.82</v>
      </c>
      <c r="P118" s="151" t="s">
        <v>162</v>
      </c>
      <c r="Q118" s="143" t="s">
        <v>154</v>
      </c>
      <c r="R118" s="74" t="s">
        <v>853</v>
      </c>
      <c r="S118" s="158"/>
      <c r="T118" s="146">
        <f t="shared" si="11"/>
        <v>42</v>
      </c>
      <c r="U118" s="146">
        <f t="shared" ref="U118:U137" si="20">round((O118*89)+(550*N118),-1)</f>
        <v>70</v>
      </c>
      <c r="V118" s="147" t="s">
        <v>38</v>
      </c>
      <c r="W118" s="74" t="b">
        <v>0</v>
      </c>
      <c r="X118" s="74" t="b">
        <v>0</v>
      </c>
      <c r="Y118" s="74" t="b">
        <v>1</v>
      </c>
      <c r="Z118" s="148" t="str">
        <f>IFERROR(__xludf.DUMMYFUNCTION("""COMPUTED_VALUE"""),"#REF!")</f>
        <v>#REF!</v>
      </c>
      <c r="AA118" s="148" t="str">
        <f>IFERROR(__xludf.DUMMYFUNCTION("""COMPUTED_VALUE"""),"#REF!")</f>
        <v>#REF!</v>
      </c>
      <c r="AB118" s="148" t="str">
        <f>IFERROR(__xludf.DUMMYFUNCTION("""COMPUTED_VALUE"""),"#REF!")</f>
        <v>#REF!</v>
      </c>
      <c r="AC118" s="148"/>
      <c r="AD118" s="153">
        <v>46125.0</v>
      </c>
      <c r="AE118" s="148"/>
      <c r="AF118" s="148">
        <v>109496.0</v>
      </c>
      <c r="AG118" s="148" t="s">
        <v>988</v>
      </c>
      <c r="AH118" s="148"/>
      <c r="AI118" s="148" t="s">
        <v>986</v>
      </c>
      <c r="AJ118" s="148" t="e">
        <v>#REF!</v>
      </c>
      <c r="AK118" s="148" t="e">
        <v>#REF!</v>
      </c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</row>
    <row r="119" ht="14.25" customHeight="1">
      <c r="A119" s="152" t="s">
        <v>13</v>
      </c>
      <c r="B119" s="135" t="s">
        <v>977</v>
      </c>
      <c r="C119" s="77">
        <v>46125.0</v>
      </c>
      <c r="D119" s="227">
        <v>109497.0</v>
      </c>
      <c r="E119" s="243">
        <v>25.93</v>
      </c>
      <c r="F119" s="60">
        <v>25.3228</v>
      </c>
      <c r="G119" s="62" t="s">
        <v>989</v>
      </c>
      <c r="H119" s="63" t="s">
        <v>34</v>
      </c>
      <c r="I119" s="138">
        <v>1.0</v>
      </c>
      <c r="J119" s="79">
        <v>0.82</v>
      </c>
      <c r="K119" s="80" t="s">
        <v>177</v>
      </c>
      <c r="L119" s="66" t="s">
        <v>990</v>
      </c>
      <c r="M119" s="81"/>
      <c r="N119" s="150"/>
      <c r="O119" s="69">
        <v>0.82</v>
      </c>
      <c r="P119" s="151" t="s">
        <v>162</v>
      </c>
      <c r="Q119" s="143" t="s">
        <v>154</v>
      </c>
      <c r="R119" s="74" t="s">
        <v>853</v>
      </c>
      <c r="S119" s="158"/>
      <c r="T119" s="146">
        <f t="shared" si="11"/>
        <v>42</v>
      </c>
      <c r="U119" s="146">
        <f t="shared" si="20"/>
        <v>70</v>
      </c>
      <c r="V119" s="147" t="s">
        <v>38</v>
      </c>
      <c r="W119" s="74" t="b">
        <v>0</v>
      </c>
      <c r="X119" s="74" t="b">
        <v>0</v>
      </c>
      <c r="Y119" s="74" t="b">
        <v>1</v>
      </c>
      <c r="Z119" s="148" t="str">
        <f>IFERROR(__xludf.DUMMYFUNCTION("""COMPUTED_VALUE"""),"#REF!")</f>
        <v>#REF!</v>
      </c>
      <c r="AA119" s="148" t="str">
        <f>IFERROR(__xludf.DUMMYFUNCTION("""COMPUTED_VALUE"""),"#REF!")</f>
        <v>#REF!</v>
      </c>
      <c r="AB119" s="148" t="str">
        <f>IFERROR(__xludf.DUMMYFUNCTION("""COMPUTED_VALUE"""),"#REF!")</f>
        <v>#REF!</v>
      </c>
      <c r="AC119" s="148"/>
      <c r="AD119" s="153">
        <v>46125.0</v>
      </c>
      <c r="AE119" s="148"/>
      <c r="AF119" s="148">
        <v>109497.0</v>
      </c>
      <c r="AG119" s="148" t="s">
        <v>991</v>
      </c>
      <c r="AH119" s="148"/>
      <c r="AI119" s="148" t="s">
        <v>989</v>
      </c>
      <c r="AJ119" s="148" t="e">
        <v>#REF!</v>
      </c>
      <c r="AK119" s="148" t="e">
        <v>#REF!</v>
      </c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</row>
    <row r="120" ht="14.25" customHeight="1">
      <c r="A120" s="152" t="s">
        <v>13</v>
      </c>
      <c r="B120" s="135" t="s">
        <v>977</v>
      </c>
      <c r="C120" s="77">
        <v>46125.0</v>
      </c>
      <c r="D120" s="229">
        <v>109498.0</v>
      </c>
      <c r="E120" s="242">
        <v>25.93</v>
      </c>
      <c r="F120" s="60">
        <v>25.32281</v>
      </c>
      <c r="G120" s="62" t="s">
        <v>992</v>
      </c>
      <c r="H120" s="63" t="s">
        <v>34</v>
      </c>
      <c r="I120" s="138">
        <v>1.0</v>
      </c>
      <c r="J120" s="79">
        <v>0.79</v>
      </c>
      <c r="K120" s="80" t="s">
        <v>177</v>
      </c>
      <c r="L120" s="66" t="s">
        <v>993</v>
      </c>
      <c r="M120" s="81"/>
      <c r="N120" s="150"/>
      <c r="O120" s="69">
        <v>0.79</v>
      </c>
      <c r="P120" s="151" t="s">
        <v>162</v>
      </c>
      <c r="Q120" s="143" t="s">
        <v>154</v>
      </c>
      <c r="R120" s="74" t="s">
        <v>853</v>
      </c>
      <c r="S120" s="158"/>
      <c r="T120" s="146">
        <f t="shared" si="11"/>
        <v>42</v>
      </c>
      <c r="U120" s="146">
        <f t="shared" si="20"/>
        <v>70</v>
      </c>
      <c r="V120" s="147" t="s">
        <v>38</v>
      </c>
      <c r="W120" s="74" t="b">
        <v>0</v>
      </c>
      <c r="X120" s="74" t="b">
        <v>0</v>
      </c>
      <c r="Y120" s="74" t="b">
        <v>1</v>
      </c>
      <c r="Z120" s="148" t="str">
        <f>IFERROR(__xludf.DUMMYFUNCTION("""COMPUTED_VALUE"""),"#REF!")</f>
        <v>#REF!</v>
      </c>
      <c r="AA120" s="148" t="str">
        <f>IFERROR(__xludf.DUMMYFUNCTION("""COMPUTED_VALUE"""),"#REF!")</f>
        <v>#REF!</v>
      </c>
      <c r="AB120" s="148" t="str">
        <f>IFERROR(__xludf.DUMMYFUNCTION("""COMPUTED_VALUE"""),"#REF!")</f>
        <v>#REF!</v>
      </c>
      <c r="AC120" s="148"/>
      <c r="AD120" s="153">
        <v>46125.0</v>
      </c>
      <c r="AE120" s="148"/>
      <c r="AF120" s="148">
        <v>109498.0</v>
      </c>
      <c r="AG120" s="148" t="s">
        <v>994</v>
      </c>
      <c r="AH120" s="148"/>
      <c r="AI120" s="148" t="s">
        <v>992</v>
      </c>
      <c r="AJ120" s="148" t="e">
        <v>#REF!</v>
      </c>
      <c r="AK120" s="148" t="e">
        <v>#REF!</v>
      </c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</row>
    <row r="121" ht="14.25" customHeight="1">
      <c r="A121" s="152" t="s">
        <v>13</v>
      </c>
      <c r="B121" s="135" t="s">
        <v>977</v>
      </c>
      <c r="C121" s="77">
        <v>46125.0</v>
      </c>
      <c r="D121" s="227">
        <v>109499.0</v>
      </c>
      <c r="E121" s="243">
        <v>25.93</v>
      </c>
      <c r="F121" s="60">
        <v>25.32282</v>
      </c>
      <c r="G121" s="62" t="s">
        <v>995</v>
      </c>
      <c r="H121" s="63" t="s">
        <v>34</v>
      </c>
      <c r="I121" s="138">
        <v>1.0</v>
      </c>
      <c r="J121" s="79">
        <v>0.85</v>
      </c>
      <c r="K121" s="80" t="s">
        <v>177</v>
      </c>
      <c r="L121" s="66" t="s">
        <v>996</v>
      </c>
      <c r="M121" s="81"/>
      <c r="N121" s="150"/>
      <c r="O121" s="69">
        <v>0.85</v>
      </c>
      <c r="P121" s="151" t="s">
        <v>162</v>
      </c>
      <c r="Q121" s="143" t="s">
        <v>154</v>
      </c>
      <c r="R121" s="74" t="s">
        <v>853</v>
      </c>
      <c r="S121" s="158"/>
      <c r="T121" s="146">
        <f t="shared" si="11"/>
        <v>48</v>
      </c>
      <c r="U121" s="146">
        <f t="shared" si="20"/>
        <v>80</v>
      </c>
      <c r="V121" s="147" t="s">
        <v>38</v>
      </c>
      <c r="W121" s="74" t="b">
        <v>0</v>
      </c>
      <c r="X121" s="74" t="b">
        <v>0</v>
      </c>
      <c r="Y121" s="74" t="b">
        <v>1</v>
      </c>
      <c r="Z121" s="148" t="str">
        <f>IFERROR(__xludf.DUMMYFUNCTION("""COMPUTED_VALUE"""),"#REF!")</f>
        <v>#REF!</v>
      </c>
      <c r="AA121" s="148" t="str">
        <f>IFERROR(__xludf.DUMMYFUNCTION("""COMPUTED_VALUE"""),"#REF!")</f>
        <v>#REF!</v>
      </c>
      <c r="AB121" s="148" t="str">
        <f>IFERROR(__xludf.DUMMYFUNCTION("""COMPUTED_VALUE"""),"#REF!")</f>
        <v>#REF!</v>
      </c>
      <c r="AC121" s="148"/>
      <c r="AD121" s="153">
        <v>46125.0</v>
      </c>
      <c r="AE121" s="148"/>
      <c r="AF121" s="148">
        <v>109499.0</v>
      </c>
      <c r="AG121" s="148" t="s">
        <v>997</v>
      </c>
      <c r="AH121" s="148"/>
      <c r="AI121" s="148" t="s">
        <v>995</v>
      </c>
      <c r="AJ121" s="148" t="e">
        <v>#REF!</v>
      </c>
      <c r="AK121" s="148" t="e">
        <v>#REF!</v>
      </c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</row>
    <row r="122" ht="14.25" customHeight="1">
      <c r="A122" s="152" t="s">
        <v>13</v>
      </c>
      <c r="B122" s="135" t="s">
        <v>977</v>
      </c>
      <c r="C122" s="77">
        <v>46125.0</v>
      </c>
      <c r="D122" s="229">
        <v>109500.0</v>
      </c>
      <c r="E122" s="237">
        <v>25.9311</v>
      </c>
      <c r="F122" s="60">
        <v>25.33761</v>
      </c>
      <c r="G122" s="62" t="s">
        <v>998</v>
      </c>
      <c r="H122" s="63" t="s">
        <v>45</v>
      </c>
      <c r="I122" s="138">
        <v>1.0</v>
      </c>
      <c r="J122" s="79">
        <v>3.27</v>
      </c>
      <c r="K122" s="80" t="s">
        <v>177</v>
      </c>
      <c r="L122" s="66" t="s">
        <v>999</v>
      </c>
      <c r="M122" s="81"/>
      <c r="N122" s="150"/>
      <c r="O122" s="69">
        <v>3.27</v>
      </c>
      <c r="P122" s="151" t="s">
        <v>162</v>
      </c>
      <c r="Q122" s="143" t="s">
        <v>154</v>
      </c>
      <c r="R122" s="74" t="s">
        <v>853</v>
      </c>
      <c r="S122" s="158"/>
      <c r="T122" s="146">
        <f t="shared" si="11"/>
        <v>174</v>
      </c>
      <c r="U122" s="146">
        <f t="shared" si="20"/>
        <v>290</v>
      </c>
      <c r="V122" s="147" t="s">
        <v>38</v>
      </c>
      <c r="W122" s="74" t="b">
        <v>0</v>
      </c>
      <c r="X122" s="74" t="b">
        <v>0</v>
      </c>
      <c r="Y122" s="74" t="b">
        <v>1</v>
      </c>
      <c r="Z122" s="148" t="str">
        <f>IFERROR(__xludf.DUMMYFUNCTION("""COMPUTED_VALUE"""),"#REF!")</f>
        <v>#REF!</v>
      </c>
      <c r="AA122" s="148" t="str">
        <f>IFERROR(__xludf.DUMMYFUNCTION("""COMPUTED_VALUE"""),"#REF!")</f>
        <v>#REF!</v>
      </c>
      <c r="AB122" s="148" t="str">
        <f>IFERROR(__xludf.DUMMYFUNCTION("""COMPUTED_VALUE"""),"#REF!")</f>
        <v>#REF!</v>
      </c>
      <c r="AC122" s="148"/>
      <c r="AD122" s="153">
        <v>46125.0</v>
      </c>
      <c r="AE122" s="148"/>
      <c r="AF122" s="148">
        <v>109500.0</v>
      </c>
      <c r="AG122" s="148" t="s">
        <v>1000</v>
      </c>
      <c r="AH122" s="148"/>
      <c r="AI122" s="148" t="s">
        <v>998</v>
      </c>
      <c r="AJ122" s="148" t="e">
        <v>#REF!</v>
      </c>
      <c r="AK122" s="148" t="e">
        <v>#REF!</v>
      </c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</row>
    <row r="123" ht="14.25" customHeight="1">
      <c r="A123" s="152" t="s">
        <v>13</v>
      </c>
      <c r="B123" s="135" t="s">
        <v>977</v>
      </c>
      <c r="C123" s="77">
        <v>46125.0</v>
      </c>
      <c r="D123" s="227">
        <v>109501.0</v>
      </c>
      <c r="E123" s="239">
        <v>25.9307</v>
      </c>
      <c r="F123" s="60">
        <v>25.33769</v>
      </c>
      <c r="G123" s="62" t="s">
        <v>1001</v>
      </c>
      <c r="H123" s="63" t="s">
        <v>45</v>
      </c>
      <c r="I123" s="138">
        <v>1.0</v>
      </c>
      <c r="J123" s="79">
        <v>3.59</v>
      </c>
      <c r="K123" s="80" t="s">
        <v>177</v>
      </c>
      <c r="L123" s="66" t="s">
        <v>1002</v>
      </c>
      <c r="M123" s="81"/>
      <c r="N123" s="150"/>
      <c r="O123" s="69">
        <v>3.59</v>
      </c>
      <c r="P123" s="151" t="s">
        <v>162</v>
      </c>
      <c r="Q123" s="143" t="s">
        <v>154</v>
      </c>
      <c r="R123" s="74" t="s">
        <v>853</v>
      </c>
      <c r="S123" s="158"/>
      <c r="T123" s="146">
        <f t="shared" si="11"/>
        <v>192</v>
      </c>
      <c r="U123" s="146">
        <f t="shared" si="20"/>
        <v>320</v>
      </c>
      <c r="V123" s="147" t="s">
        <v>38</v>
      </c>
      <c r="W123" s="74" t="b">
        <v>0</v>
      </c>
      <c r="X123" s="74" t="b">
        <v>0</v>
      </c>
      <c r="Y123" s="74" t="b">
        <v>1</v>
      </c>
      <c r="Z123" s="148" t="str">
        <f>IFERROR(__xludf.DUMMYFUNCTION("""COMPUTED_VALUE"""),"#REF!")</f>
        <v>#REF!</v>
      </c>
      <c r="AA123" s="148" t="str">
        <f>IFERROR(__xludf.DUMMYFUNCTION("""COMPUTED_VALUE"""),"#REF!")</f>
        <v>#REF!</v>
      </c>
      <c r="AB123" s="148" t="str">
        <f>IFERROR(__xludf.DUMMYFUNCTION("""COMPUTED_VALUE"""),"#REF!")</f>
        <v>#REF!</v>
      </c>
      <c r="AC123" s="148"/>
      <c r="AD123" s="153">
        <v>46125.0</v>
      </c>
      <c r="AE123" s="148"/>
      <c r="AF123" s="148">
        <v>109501.0</v>
      </c>
      <c r="AG123" s="148" t="s">
        <v>1003</v>
      </c>
      <c r="AH123" s="148"/>
      <c r="AI123" s="148" t="s">
        <v>1001</v>
      </c>
      <c r="AJ123" s="148" t="e">
        <v>#REF!</v>
      </c>
      <c r="AK123" s="148" t="e">
        <v>#REF!</v>
      </c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</row>
    <row r="124" ht="14.25" customHeight="1">
      <c r="A124" s="152" t="s">
        <v>13</v>
      </c>
      <c r="B124" s="135" t="s">
        <v>977</v>
      </c>
      <c r="C124" s="77">
        <v>46125.0</v>
      </c>
      <c r="D124" s="229">
        <v>109502.0</v>
      </c>
      <c r="E124" s="237">
        <v>25.9882</v>
      </c>
      <c r="F124" s="60">
        <v>25.33776</v>
      </c>
      <c r="G124" s="62" t="s">
        <v>1004</v>
      </c>
      <c r="H124" s="63" t="s">
        <v>34</v>
      </c>
      <c r="I124" s="138">
        <v>1.0</v>
      </c>
      <c r="J124" s="79">
        <v>2.83</v>
      </c>
      <c r="K124" s="80" t="s">
        <v>68</v>
      </c>
      <c r="L124" s="66" t="s">
        <v>1005</v>
      </c>
      <c r="M124" s="81"/>
      <c r="N124" s="150"/>
      <c r="O124" s="69">
        <v>2.83</v>
      </c>
      <c r="P124" s="151" t="s">
        <v>162</v>
      </c>
      <c r="Q124" s="143" t="s">
        <v>154</v>
      </c>
      <c r="R124" s="74" t="s">
        <v>853</v>
      </c>
      <c r="S124" s="158"/>
      <c r="T124" s="146">
        <f t="shared" si="11"/>
        <v>150</v>
      </c>
      <c r="U124" s="146">
        <f t="shared" si="20"/>
        <v>250</v>
      </c>
      <c r="V124" s="147" t="s">
        <v>38</v>
      </c>
      <c r="W124" s="74" t="b">
        <v>0</v>
      </c>
      <c r="X124" s="74" t="b">
        <v>0</v>
      </c>
      <c r="Y124" s="74" t="b">
        <v>1</v>
      </c>
      <c r="Z124" s="148" t="str">
        <f>IFERROR(__xludf.DUMMYFUNCTION("""COMPUTED_VALUE"""),"#REF!")</f>
        <v>#REF!</v>
      </c>
      <c r="AA124" s="148" t="str">
        <f>IFERROR(__xludf.DUMMYFUNCTION("""COMPUTED_VALUE"""),"#REF!")</f>
        <v>#REF!</v>
      </c>
      <c r="AB124" s="148" t="str">
        <f>IFERROR(__xludf.DUMMYFUNCTION("""COMPUTED_VALUE"""),"#REF!")</f>
        <v>#REF!</v>
      </c>
      <c r="AC124" s="148"/>
      <c r="AD124" s="153">
        <v>46125.0</v>
      </c>
      <c r="AE124" s="148"/>
      <c r="AF124" s="148">
        <v>109502.0</v>
      </c>
      <c r="AG124" s="148" t="s">
        <v>1006</v>
      </c>
      <c r="AH124" s="148"/>
      <c r="AI124" s="148" t="s">
        <v>1004</v>
      </c>
      <c r="AJ124" s="148" t="e">
        <v>#REF!</v>
      </c>
      <c r="AK124" s="148" t="e">
        <v>#REF!</v>
      </c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</row>
    <row r="125" ht="14.25" customHeight="1">
      <c r="A125" s="152" t="s">
        <v>13</v>
      </c>
      <c r="B125" s="208" t="s">
        <v>1007</v>
      </c>
      <c r="C125" s="77">
        <v>46125.0</v>
      </c>
      <c r="D125" s="238"/>
      <c r="E125" s="239" t="s">
        <v>1008</v>
      </c>
      <c r="F125" s="60"/>
      <c r="G125" s="62" t="s">
        <v>1009</v>
      </c>
      <c r="H125" s="63" t="s">
        <v>551</v>
      </c>
      <c r="I125" s="138">
        <v>1.0</v>
      </c>
      <c r="J125" s="85">
        <v>20.58</v>
      </c>
      <c r="K125" s="65" t="s">
        <v>160</v>
      </c>
      <c r="L125" s="211" t="s">
        <v>1010</v>
      </c>
      <c r="M125" s="81"/>
      <c r="N125" s="150"/>
      <c r="O125" s="69">
        <f t="shared" ref="O125:O136" si="21">J125-(N125*0.2)</f>
        <v>20.58</v>
      </c>
      <c r="P125" s="142" t="s">
        <v>153</v>
      </c>
      <c r="Q125" s="143" t="s">
        <v>154</v>
      </c>
      <c r="R125" s="74" t="s">
        <v>853</v>
      </c>
      <c r="S125" s="158"/>
      <c r="T125" s="146">
        <f t="shared" si="11"/>
        <v>1098</v>
      </c>
      <c r="U125" s="146">
        <f t="shared" si="20"/>
        <v>1830</v>
      </c>
      <c r="V125" s="147" t="s">
        <v>84</v>
      </c>
      <c r="W125" s="74" t="b">
        <v>0</v>
      </c>
      <c r="X125" s="74" t="b">
        <v>0</v>
      </c>
      <c r="Y125" s="74" t="b">
        <v>1</v>
      </c>
      <c r="Z125" s="148" t="str">
        <f>IFERROR(__xludf.DUMMYFUNCTION("""COMPUTED_VALUE"""),"#REF!")</f>
        <v>#REF!</v>
      </c>
      <c r="AA125" s="148" t="str">
        <f>IFERROR(__xludf.DUMMYFUNCTION("""COMPUTED_VALUE"""),"#REF!")</f>
        <v>#REF!</v>
      </c>
      <c r="AB125" s="148" t="str">
        <f>IFERROR(__xludf.DUMMYFUNCTION("""COMPUTED_VALUE"""),"#REF!")</f>
        <v>#REF!</v>
      </c>
      <c r="AC125" s="148"/>
      <c r="AD125" s="153">
        <v>46125.0</v>
      </c>
      <c r="AE125" s="148"/>
      <c r="AF125" s="148"/>
      <c r="AG125" s="148" t="s">
        <v>1011</v>
      </c>
      <c r="AH125" s="148"/>
      <c r="AI125" s="148" t="s">
        <v>1009</v>
      </c>
      <c r="AJ125" s="148" t="e">
        <v>#REF!</v>
      </c>
      <c r="AK125" s="148" t="e">
        <v>#REF!</v>
      </c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</row>
    <row r="126" ht="14.25" customHeight="1">
      <c r="A126" s="152" t="s">
        <v>13</v>
      </c>
      <c r="B126" s="208" t="s">
        <v>1007</v>
      </c>
      <c r="C126" s="77">
        <v>46125.0</v>
      </c>
      <c r="D126" s="224"/>
      <c r="E126" s="237" t="s">
        <v>1008</v>
      </c>
      <c r="F126" s="60"/>
      <c r="G126" s="62" t="s">
        <v>1012</v>
      </c>
      <c r="H126" s="63" t="s">
        <v>551</v>
      </c>
      <c r="I126" s="138">
        <v>1.0</v>
      </c>
      <c r="J126" s="85">
        <v>52.07</v>
      </c>
      <c r="K126" s="65" t="s">
        <v>77</v>
      </c>
      <c r="L126" s="211" t="s">
        <v>1013</v>
      </c>
      <c r="M126" s="81"/>
      <c r="N126" s="150"/>
      <c r="O126" s="69">
        <f t="shared" si="21"/>
        <v>52.07</v>
      </c>
      <c r="P126" s="142" t="s">
        <v>153</v>
      </c>
      <c r="Q126" s="143" t="s">
        <v>154</v>
      </c>
      <c r="R126" s="74" t="s">
        <v>853</v>
      </c>
      <c r="S126" s="158"/>
      <c r="T126" s="146">
        <f t="shared" si="11"/>
        <v>2778</v>
      </c>
      <c r="U126" s="146">
        <f t="shared" si="20"/>
        <v>4630</v>
      </c>
      <c r="V126" s="147" t="s">
        <v>84</v>
      </c>
      <c r="W126" s="74" t="b">
        <v>0</v>
      </c>
      <c r="X126" s="74" t="b">
        <v>0</v>
      </c>
      <c r="Y126" s="74" t="b">
        <v>1</v>
      </c>
      <c r="Z126" s="148" t="str">
        <f>IFERROR(__xludf.DUMMYFUNCTION("""COMPUTED_VALUE"""),"#REF!")</f>
        <v>#REF!</v>
      </c>
      <c r="AA126" s="148" t="str">
        <f>IFERROR(__xludf.DUMMYFUNCTION("""COMPUTED_VALUE"""),"#REF!")</f>
        <v>#REF!</v>
      </c>
      <c r="AB126" s="148" t="str">
        <f>IFERROR(__xludf.DUMMYFUNCTION("""COMPUTED_VALUE"""),"#REF!")</f>
        <v>#REF!</v>
      </c>
      <c r="AC126" s="148"/>
      <c r="AD126" s="153">
        <v>46125.0</v>
      </c>
      <c r="AE126" s="148"/>
      <c r="AF126" s="148"/>
      <c r="AG126" s="148" t="s">
        <v>1011</v>
      </c>
      <c r="AH126" s="148"/>
      <c r="AI126" s="148" t="s">
        <v>1012</v>
      </c>
      <c r="AJ126" s="148" t="e">
        <v>#REF!</v>
      </c>
      <c r="AK126" s="148" t="e">
        <v>#REF!</v>
      </c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</row>
    <row r="127" ht="14.25" customHeight="1">
      <c r="A127" s="134" t="s">
        <v>13</v>
      </c>
      <c r="B127" s="244" t="s">
        <v>1014</v>
      </c>
      <c r="C127" s="173">
        <v>46127.0</v>
      </c>
      <c r="D127" s="240" t="s">
        <v>1015</v>
      </c>
      <c r="E127" s="239"/>
      <c r="F127" s="60"/>
      <c r="G127" s="90" t="s">
        <v>1016</v>
      </c>
      <c r="H127" s="63" t="s">
        <v>34</v>
      </c>
      <c r="I127" s="138">
        <v>1.0</v>
      </c>
      <c r="J127" s="206">
        <v>1.26</v>
      </c>
      <c r="K127" s="65" t="s">
        <v>77</v>
      </c>
      <c r="L127" s="66"/>
      <c r="M127" s="81"/>
      <c r="N127" s="150"/>
      <c r="O127" s="69">
        <f t="shared" si="21"/>
        <v>1.26</v>
      </c>
      <c r="P127" s="142" t="s">
        <v>162</v>
      </c>
      <c r="Q127" s="143" t="s">
        <v>163</v>
      </c>
      <c r="R127" s="74"/>
      <c r="S127" s="158"/>
      <c r="T127" s="146">
        <f t="shared" si="11"/>
        <v>66</v>
      </c>
      <c r="U127" s="146">
        <f t="shared" si="20"/>
        <v>110</v>
      </c>
      <c r="V127" s="147" t="s">
        <v>38</v>
      </c>
      <c r="W127" s="74" t="b">
        <v>0</v>
      </c>
      <c r="X127" s="74" t="b">
        <v>0</v>
      </c>
      <c r="Y127" s="74" t="b">
        <v>1</v>
      </c>
      <c r="Z127" s="148" t="str">
        <f>IFERROR(__xludf.DUMMYFUNCTION("""COMPUTED_VALUE"""),"")</f>
        <v/>
      </c>
      <c r="AA127" s="148" t="str">
        <f>IFERROR(__xludf.DUMMYFUNCTION("""COMPUTED_VALUE"""),"")</f>
        <v/>
      </c>
      <c r="AB127" s="148" t="str">
        <f>IFERROR(__xludf.DUMMYFUNCTION("""COMPUTED_VALUE"""),"")</f>
        <v/>
      </c>
      <c r="AC127" s="148"/>
      <c r="AD127" s="153">
        <v>46127.0</v>
      </c>
      <c r="AE127" s="148"/>
      <c r="AF127" s="148" t="s">
        <v>1015</v>
      </c>
      <c r="AG127" s="148" t="s">
        <v>613</v>
      </c>
      <c r="AH127" s="148"/>
      <c r="AI127" s="148" t="s">
        <v>1016</v>
      </c>
      <c r="AJ127" s="148" t="s">
        <v>614</v>
      </c>
      <c r="AK127" s="148" t="s">
        <v>614</v>
      </c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</row>
    <row r="128" ht="14.25" customHeight="1">
      <c r="A128" s="134" t="s">
        <v>13</v>
      </c>
      <c r="B128" s="244" t="s">
        <v>1014</v>
      </c>
      <c r="C128" s="173">
        <v>46127.0</v>
      </c>
      <c r="D128" s="241" t="s">
        <v>1017</v>
      </c>
      <c r="E128" s="237"/>
      <c r="F128" s="60"/>
      <c r="G128" s="90" t="s">
        <v>1018</v>
      </c>
      <c r="H128" s="63" t="s">
        <v>34</v>
      </c>
      <c r="I128" s="138">
        <v>1.0</v>
      </c>
      <c r="J128" s="206">
        <v>2.88</v>
      </c>
      <c r="K128" s="65" t="s">
        <v>77</v>
      </c>
      <c r="L128" s="66"/>
      <c r="M128" s="81"/>
      <c r="N128" s="150"/>
      <c r="O128" s="69">
        <f t="shared" si="21"/>
        <v>2.88</v>
      </c>
      <c r="P128" s="142" t="s">
        <v>162</v>
      </c>
      <c r="Q128" s="143" t="s">
        <v>163</v>
      </c>
      <c r="R128" s="74"/>
      <c r="S128" s="158"/>
      <c r="T128" s="146">
        <f t="shared" si="11"/>
        <v>156</v>
      </c>
      <c r="U128" s="146">
        <f t="shared" si="20"/>
        <v>260</v>
      </c>
      <c r="V128" s="147" t="s">
        <v>38</v>
      </c>
      <c r="W128" s="74" t="b">
        <v>0</v>
      </c>
      <c r="X128" s="74" t="b">
        <v>0</v>
      </c>
      <c r="Y128" s="74" t="b">
        <v>1</v>
      </c>
      <c r="Z128" s="148" t="str">
        <f>IFERROR(__xludf.DUMMYFUNCTION("""COMPUTED_VALUE"""),"")</f>
        <v/>
      </c>
      <c r="AA128" s="148" t="str">
        <f>IFERROR(__xludf.DUMMYFUNCTION("""COMPUTED_VALUE"""),"")</f>
        <v/>
      </c>
      <c r="AB128" s="148" t="str">
        <f>IFERROR(__xludf.DUMMYFUNCTION("""COMPUTED_VALUE"""),"")</f>
        <v/>
      </c>
      <c r="AC128" s="148"/>
      <c r="AD128" s="153">
        <v>46127.0</v>
      </c>
      <c r="AE128" s="148"/>
      <c r="AF128" s="148" t="s">
        <v>1017</v>
      </c>
      <c r="AG128" s="148" t="s">
        <v>613</v>
      </c>
      <c r="AH128" s="148"/>
      <c r="AI128" s="148" t="s">
        <v>1018</v>
      </c>
      <c r="AJ128" s="148" t="s">
        <v>614</v>
      </c>
      <c r="AK128" s="148" t="s">
        <v>614</v>
      </c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</row>
    <row r="129" ht="14.25" customHeight="1">
      <c r="A129" s="134" t="s">
        <v>13</v>
      </c>
      <c r="B129" s="244" t="s">
        <v>1014</v>
      </c>
      <c r="C129" s="173">
        <v>46127.0</v>
      </c>
      <c r="D129" s="245" t="s">
        <v>1019</v>
      </c>
      <c r="E129" s="60"/>
      <c r="F129" s="60"/>
      <c r="G129" s="90" t="s">
        <v>1020</v>
      </c>
      <c r="H129" s="63" t="s">
        <v>34</v>
      </c>
      <c r="I129" s="138">
        <v>1.0</v>
      </c>
      <c r="J129" s="206">
        <v>5.42</v>
      </c>
      <c r="K129" s="65" t="s">
        <v>77</v>
      </c>
      <c r="L129" s="66"/>
      <c r="M129" s="81"/>
      <c r="N129" s="150"/>
      <c r="O129" s="69">
        <f t="shared" si="21"/>
        <v>5.42</v>
      </c>
      <c r="P129" s="142" t="s">
        <v>162</v>
      </c>
      <c r="Q129" s="143" t="s">
        <v>163</v>
      </c>
      <c r="R129" s="74"/>
      <c r="S129" s="158"/>
      <c r="T129" s="146">
        <f t="shared" si="11"/>
        <v>288</v>
      </c>
      <c r="U129" s="146">
        <f t="shared" si="20"/>
        <v>480</v>
      </c>
      <c r="V129" s="147" t="s">
        <v>38</v>
      </c>
      <c r="W129" s="74" t="b">
        <v>0</v>
      </c>
      <c r="X129" s="74" t="b">
        <v>0</v>
      </c>
      <c r="Y129" s="74" t="b">
        <v>1</v>
      </c>
      <c r="Z129" s="148" t="str">
        <f>IFERROR(__xludf.DUMMYFUNCTION("""COMPUTED_VALUE"""),"")</f>
        <v/>
      </c>
      <c r="AA129" s="148" t="str">
        <f>IFERROR(__xludf.DUMMYFUNCTION("""COMPUTED_VALUE"""),"")</f>
        <v/>
      </c>
      <c r="AB129" s="148" t="str">
        <f>IFERROR(__xludf.DUMMYFUNCTION("""COMPUTED_VALUE"""),"")</f>
        <v/>
      </c>
      <c r="AC129" s="148"/>
      <c r="AD129" s="153">
        <v>46127.0</v>
      </c>
      <c r="AE129" s="148"/>
      <c r="AF129" s="148" t="s">
        <v>1019</v>
      </c>
      <c r="AG129" s="148" t="s">
        <v>613</v>
      </c>
      <c r="AH129" s="148"/>
      <c r="AI129" s="148" t="s">
        <v>1020</v>
      </c>
      <c r="AJ129" s="148" t="s">
        <v>614</v>
      </c>
      <c r="AK129" s="148" t="s">
        <v>614</v>
      </c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</row>
    <row r="130" ht="14.25" customHeight="1">
      <c r="A130" s="134" t="s">
        <v>13</v>
      </c>
      <c r="B130" s="244" t="s">
        <v>1014</v>
      </c>
      <c r="C130" s="173">
        <v>46127.0</v>
      </c>
      <c r="D130" s="245" t="s">
        <v>1021</v>
      </c>
      <c r="E130" s="60"/>
      <c r="F130" s="60"/>
      <c r="G130" s="90" t="s">
        <v>1022</v>
      </c>
      <c r="H130" s="63" t="s">
        <v>34</v>
      </c>
      <c r="I130" s="138">
        <v>1.0</v>
      </c>
      <c r="J130" s="206">
        <v>6.57</v>
      </c>
      <c r="K130" s="65" t="s">
        <v>77</v>
      </c>
      <c r="L130" s="66"/>
      <c r="M130" s="81"/>
      <c r="N130" s="150"/>
      <c r="O130" s="69">
        <f t="shared" si="21"/>
        <v>6.57</v>
      </c>
      <c r="P130" s="142" t="s">
        <v>162</v>
      </c>
      <c r="Q130" s="143" t="s">
        <v>163</v>
      </c>
      <c r="R130" s="74"/>
      <c r="S130" s="158"/>
      <c r="T130" s="146">
        <f t="shared" si="11"/>
        <v>348</v>
      </c>
      <c r="U130" s="146">
        <f t="shared" si="20"/>
        <v>580</v>
      </c>
      <c r="V130" s="147" t="s">
        <v>38</v>
      </c>
      <c r="W130" s="74" t="b">
        <v>0</v>
      </c>
      <c r="X130" s="74" t="b">
        <v>0</v>
      </c>
      <c r="Y130" s="74" t="b">
        <v>1</v>
      </c>
      <c r="Z130" s="148" t="str">
        <f>IFERROR(__xludf.DUMMYFUNCTION("""COMPUTED_VALUE"""),"")</f>
        <v/>
      </c>
      <c r="AA130" s="148" t="str">
        <f>IFERROR(__xludf.DUMMYFUNCTION("""COMPUTED_VALUE"""),"")</f>
        <v/>
      </c>
      <c r="AB130" s="148" t="str">
        <f>IFERROR(__xludf.DUMMYFUNCTION("""COMPUTED_VALUE"""),"")</f>
        <v/>
      </c>
      <c r="AC130" s="148"/>
      <c r="AD130" s="153">
        <v>46127.0</v>
      </c>
      <c r="AE130" s="148"/>
      <c r="AF130" s="148" t="s">
        <v>1021</v>
      </c>
      <c r="AG130" s="148" t="s">
        <v>613</v>
      </c>
      <c r="AH130" s="148"/>
      <c r="AI130" s="148" t="s">
        <v>1022</v>
      </c>
      <c r="AJ130" s="148" t="s">
        <v>614</v>
      </c>
      <c r="AK130" s="148" t="s">
        <v>614</v>
      </c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</row>
    <row r="131" ht="14.25" customHeight="1">
      <c r="A131" s="134" t="s">
        <v>13</v>
      </c>
      <c r="B131" s="244" t="s">
        <v>1014</v>
      </c>
      <c r="C131" s="173">
        <v>46127.0</v>
      </c>
      <c r="D131" s="245" t="s">
        <v>1023</v>
      </c>
      <c r="E131" s="60"/>
      <c r="F131" s="60"/>
      <c r="G131" s="90" t="s">
        <v>1024</v>
      </c>
      <c r="H131" s="63" t="s">
        <v>34</v>
      </c>
      <c r="I131" s="138">
        <v>1.0</v>
      </c>
      <c r="J131" s="206">
        <v>10.12</v>
      </c>
      <c r="K131" s="65" t="s">
        <v>77</v>
      </c>
      <c r="L131" s="66"/>
      <c r="M131" s="81"/>
      <c r="N131" s="150"/>
      <c r="O131" s="69">
        <f t="shared" si="21"/>
        <v>10.12</v>
      </c>
      <c r="P131" s="142" t="s">
        <v>162</v>
      </c>
      <c r="Q131" s="143" t="s">
        <v>163</v>
      </c>
      <c r="R131" s="74"/>
      <c r="S131" s="158"/>
      <c r="T131" s="146">
        <f t="shared" si="11"/>
        <v>540</v>
      </c>
      <c r="U131" s="146">
        <f t="shared" si="20"/>
        <v>900</v>
      </c>
      <c r="V131" s="147" t="s">
        <v>38</v>
      </c>
      <c r="W131" s="74" t="b">
        <v>0</v>
      </c>
      <c r="X131" s="74" t="b">
        <v>0</v>
      </c>
      <c r="Y131" s="74" t="b">
        <v>1</v>
      </c>
      <c r="Z131" s="148" t="str">
        <f>IFERROR(__xludf.DUMMYFUNCTION("""COMPUTED_VALUE"""),"")</f>
        <v/>
      </c>
      <c r="AA131" s="148" t="str">
        <f>IFERROR(__xludf.DUMMYFUNCTION("""COMPUTED_VALUE"""),"")</f>
        <v/>
      </c>
      <c r="AB131" s="148" t="str">
        <f>IFERROR(__xludf.DUMMYFUNCTION("""COMPUTED_VALUE"""),"")</f>
        <v/>
      </c>
      <c r="AC131" s="148"/>
      <c r="AD131" s="153">
        <v>46127.0</v>
      </c>
      <c r="AE131" s="148"/>
      <c r="AF131" s="148" t="s">
        <v>1023</v>
      </c>
      <c r="AG131" s="148" t="s">
        <v>613</v>
      </c>
      <c r="AH131" s="148"/>
      <c r="AI131" s="148" t="s">
        <v>1024</v>
      </c>
      <c r="AJ131" s="148" t="s">
        <v>614</v>
      </c>
      <c r="AK131" s="148" t="s">
        <v>614</v>
      </c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</row>
    <row r="132" ht="14.25" customHeight="1">
      <c r="A132" s="134" t="s">
        <v>13</v>
      </c>
      <c r="B132" s="244" t="s">
        <v>1014</v>
      </c>
      <c r="C132" s="173">
        <v>46127.0</v>
      </c>
      <c r="D132" s="245" t="s">
        <v>1025</v>
      </c>
      <c r="E132" s="60"/>
      <c r="F132" s="60"/>
      <c r="G132" s="90" t="s">
        <v>1026</v>
      </c>
      <c r="H132" s="63" t="s">
        <v>45</v>
      </c>
      <c r="I132" s="138">
        <v>1.0</v>
      </c>
      <c r="J132" s="206">
        <v>8.36</v>
      </c>
      <c r="K132" s="65" t="s">
        <v>77</v>
      </c>
      <c r="L132" s="66"/>
      <c r="M132" s="81"/>
      <c r="N132" s="150"/>
      <c r="O132" s="69">
        <f t="shared" si="21"/>
        <v>8.36</v>
      </c>
      <c r="P132" s="142" t="s">
        <v>162</v>
      </c>
      <c r="Q132" s="143" t="s">
        <v>163</v>
      </c>
      <c r="R132" s="74"/>
      <c r="S132" s="158"/>
      <c r="T132" s="146">
        <f t="shared" si="11"/>
        <v>444</v>
      </c>
      <c r="U132" s="146">
        <f t="shared" si="20"/>
        <v>740</v>
      </c>
      <c r="V132" s="147" t="s">
        <v>38</v>
      </c>
      <c r="W132" s="74" t="b">
        <v>0</v>
      </c>
      <c r="X132" s="74" t="b">
        <v>0</v>
      </c>
      <c r="Y132" s="74" t="b">
        <v>1</v>
      </c>
      <c r="Z132" s="148" t="str">
        <f>IFERROR(__xludf.DUMMYFUNCTION("""COMPUTED_VALUE"""),"")</f>
        <v/>
      </c>
      <c r="AA132" s="148" t="str">
        <f>IFERROR(__xludf.DUMMYFUNCTION("""COMPUTED_VALUE"""),"")</f>
        <v/>
      </c>
      <c r="AB132" s="148" t="str">
        <f>IFERROR(__xludf.DUMMYFUNCTION("""COMPUTED_VALUE"""),"")</f>
        <v/>
      </c>
      <c r="AC132" s="148"/>
      <c r="AD132" s="153">
        <v>46127.0</v>
      </c>
      <c r="AE132" s="148"/>
      <c r="AF132" s="148" t="s">
        <v>1025</v>
      </c>
      <c r="AG132" s="148" t="s">
        <v>613</v>
      </c>
      <c r="AH132" s="148"/>
      <c r="AI132" s="148" t="s">
        <v>1026</v>
      </c>
      <c r="AJ132" s="148" t="s">
        <v>614</v>
      </c>
      <c r="AK132" s="148" t="s">
        <v>614</v>
      </c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</row>
    <row r="133" ht="14.25" customHeight="1">
      <c r="A133" s="134" t="s">
        <v>13</v>
      </c>
      <c r="B133" s="244" t="s">
        <v>1014</v>
      </c>
      <c r="C133" s="173">
        <v>46127.0</v>
      </c>
      <c r="D133" s="245" t="s">
        <v>1027</v>
      </c>
      <c r="E133" s="60"/>
      <c r="F133" s="60"/>
      <c r="G133" s="90" t="s">
        <v>1028</v>
      </c>
      <c r="H133" s="63" t="s">
        <v>45</v>
      </c>
      <c r="I133" s="138">
        <v>1.0</v>
      </c>
      <c r="J133" s="206">
        <v>15.07</v>
      </c>
      <c r="K133" s="65" t="s">
        <v>77</v>
      </c>
      <c r="L133" s="66"/>
      <c r="M133" s="81"/>
      <c r="N133" s="150"/>
      <c r="O133" s="69">
        <f t="shared" si="21"/>
        <v>15.07</v>
      </c>
      <c r="P133" s="142" t="s">
        <v>162</v>
      </c>
      <c r="Q133" s="143" t="s">
        <v>163</v>
      </c>
      <c r="R133" s="74"/>
      <c r="S133" s="158"/>
      <c r="T133" s="146">
        <f t="shared" si="11"/>
        <v>804</v>
      </c>
      <c r="U133" s="146">
        <f t="shared" si="20"/>
        <v>1340</v>
      </c>
      <c r="V133" s="147" t="s">
        <v>38</v>
      </c>
      <c r="W133" s="74" t="b">
        <v>0</v>
      </c>
      <c r="X133" s="74" t="b">
        <v>0</v>
      </c>
      <c r="Y133" s="74" t="b">
        <v>1</v>
      </c>
      <c r="Z133" s="148" t="str">
        <f>IFERROR(__xludf.DUMMYFUNCTION("""COMPUTED_VALUE"""),"")</f>
        <v/>
      </c>
      <c r="AA133" s="148" t="str">
        <f>IFERROR(__xludf.DUMMYFUNCTION("""COMPUTED_VALUE"""),"")</f>
        <v/>
      </c>
      <c r="AB133" s="148" t="str">
        <f>IFERROR(__xludf.DUMMYFUNCTION("""COMPUTED_VALUE"""),"")</f>
        <v/>
      </c>
      <c r="AC133" s="148"/>
      <c r="AD133" s="153">
        <v>46127.0</v>
      </c>
      <c r="AE133" s="148"/>
      <c r="AF133" s="148" t="s">
        <v>1027</v>
      </c>
      <c r="AG133" s="148" t="s">
        <v>613</v>
      </c>
      <c r="AH133" s="148"/>
      <c r="AI133" s="148" t="s">
        <v>1028</v>
      </c>
      <c r="AJ133" s="148" t="s">
        <v>614</v>
      </c>
      <c r="AK133" s="148" t="s">
        <v>614</v>
      </c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</row>
    <row r="134" ht="14.25" customHeight="1">
      <c r="A134" s="134" t="s">
        <v>13</v>
      </c>
      <c r="B134" s="244" t="s">
        <v>1014</v>
      </c>
      <c r="C134" s="173">
        <v>46127.0</v>
      </c>
      <c r="D134" s="245" t="s">
        <v>1029</v>
      </c>
      <c r="E134" s="60"/>
      <c r="F134" s="60"/>
      <c r="G134" s="90" t="s">
        <v>1030</v>
      </c>
      <c r="H134" s="63" t="s">
        <v>34</v>
      </c>
      <c r="I134" s="138">
        <v>1.0</v>
      </c>
      <c r="J134" s="206">
        <v>19.71</v>
      </c>
      <c r="K134" s="65" t="s">
        <v>77</v>
      </c>
      <c r="L134" s="66"/>
      <c r="M134" s="81"/>
      <c r="N134" s="150"/>
      <c r="O134" s="69">
        <f t="shared" si="21"/>
        <v>19.71</v>
      </c>
      <c r="P134" s="142" t="s">
        <v>162</v>
      </c>
      <c r="Q134" s="143" t="s">
        <v>163</v>
      </c>
      <c r="R134" s="74"/>
      <c r="S134" s="158"/>
      <c r="T134" s="146">
        <f t="shared" si="11"/>
        <v>1050</v>
      </c>
      <c r="U134" s="146">
        <f t="shared" si="20"/>
        <v>1750</v>
      </c>
      <c r="V134" s="147" t="s">
        <v>38</v>
      </c>
      <c r="W134" s="74" t="b">
        <v>0</v>
      </c>
      <c r="X134" s="74" t="b">
        <v>0</v>
      </c>
      <c r="Y134" s="74" t="b">
        <v>1</v>
      </c>
      <c r="Z134" s="148" t="str">
        <f>IFERROR(__xludf.DUMMYFUNCTION("""COMPUTED_VALUE"""),"")</f>
        <v/>
      </c>
      <c r="AA134" s="148" t="str">
        <f>IFERROR(__xludf.DUMMYFUNCTION("""COMPUTED_VALUE"""),"")</f>
        <v/>
      </c>
      <c r="AB134" s="148" t="str">
        <f>IFERROR(__xludf.DUMMYFUNCTION("""COMPUTED_VALUE"""),"")</f>
        <v/>
      </c>
      <c r="AC134" s="148"/>
      <c r="AD134" s="153">
        <v>46127.0</v>
      </c>
      <c r="AE134" s="148"/>
      <c r="AF134" s="148" t="s">
        <v>1029</v>
      </c>
      <c r="AG134" s="148" t="s">
        <v>613</v>
      </c>
      <c r="AH134" s="148"/>
      <c r="AI134" s="148" t="s">
        <v>1030</v>
      </c>
      <c r="AJ134" s="148" t="s">
        <v>614</v>
      </c>
      <c r="AK134" s="148" t="s">
        <v>614</v>
      </c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</row>
    <row r="135" ht="14.25" customHeight="1">
      <c r="A135" s="134" t="s">
        <v>13</v>
      </c>
      <c r="B135" s="244" t="s">
        <v>1014</v>
      </c>
      <c r="C135" s="173">
        <v>46127.0</v>
      </c>
      <c r="D135" s="245" t="s">
        <v>1031</v>
      </c>
      <c r="E135" s="60"/>
      <c r="F135" s="60"/>
      <c r="G135" s="90" t="s">
        <v>1032</v>
      </c>
      <c r="H135" s="63" t="s">
        <v>34</v>
      </c>
      <c r="I135" s="138">
        <v>1.0</v>
      </c>
      <c r="J135" s="206">
        <v>15.08</v>
      </c>
      <c r="K135" s="65" t="s">
        <v>77</v>
      </c>
      <c r="L135" s="66"/>
      <c r="M135" s="81"/>
      <c r="N135" s="150"/>
      <c r="O135" s="69">
        <f t="shared" si="21"/>
        <v>15.08</v>
      </c>
      <c r="P135" s="142" t="s">
        <v>162</v>
      </c>
      <c r="Q135" s="143" t="s">
        <v>163</v>
      </c>
      <c r="R135" s="74"/>
      <c r="S135" s="158"/>
      <c r="T135" s="146">
        <f t="shared" si="11"/>
        <v>804</v>
      </c>
      <c r="U135" s="146">
        <f t="shared" si="20"/>
        <v>1340</v>
      </c>
      <c r="V135" s="147" t="s">
        <v>38</v>
      </c>
      <c r="W135" s="74" t="b">
        <v>0</v>
      </c>
      <c r="X135" s="74" t="b">
        <v>0</v>
      </c>
      <c r="Y135" s="74" t="b">
        <v>1</v>
      </c>
      <c r="Z135" s="148" t="str">
        <f>IFERROR(__xludf.DUMMYFUNCTION("""COMPUTED_VALUE"""),"")</f>
        <v/>
      </c>
      <c r="AA135" s="148" t="str">
        <f>IFERROR(__xludf.DUMMYFUNCTION("""COMPUTED_VALUE"""),"")</f>
        <v/>
      </c>
      <c r="AB135" s="148" t="str">
        <f>IFERROR(__xludf.DUMMYFUNCTION("""COMPUTED_VALUE"""),"")</f>
        <v/>
      </c>
      <c r="AC135" s="148"/>
      <c r="AD135" s="153">
        <v>46127.0</v>
      </c>
      <c r="AE135" s="148"/>
      <c r="AF135" s="148" t="s">
        <v>1031</v>
      </c>
      <c r="AG135" s="148" t="s">
        <v>613</v>
      </c>
      <c r="AH135" s="148"/>
      <c r="AI135" s="148" t="s">
        <v>1032</v>
      </c>
      <c r="AJ135" s="148" t="s">
        <v>614</v>
      </c>
      <c r="AK135" s="148" t="s">
        <v>614</v>
      </c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</row>
    <row r="136" ht="14.25" customHeight="1">
      <c r="A136" s="134" t="s">
        <v>13</v>
      </c>
      <c r="B136" s="244" t="s">
        <v>1014</v>
      </c>
      <c r="C136" s="173">
        <v>46127.0</v>
      </c>
      <c r="D136" s="245" t="s">
        <v>1033</v>
      </c>
      <c r="E136" s="60"/>
      <c r="F136" s="60"/>
      <c r="G136" s="90" t="s">
        <v>1034</v>
      </c>
      <c r="H136" s="63" t="s">
        <v>34</v>
      </c>
      <c r="I136" s="138">
        <v>1.0</v>
      </c>
      <c r="J136" s="206">
        <v>11.07</v>
      </c>
      <c r="K136" s="65" t="s">
        <v>77</v>
      </c>
      <c r="L136" s="66"/>
      <c r="M136" s="81"/>
      <c r="N136" s="150"/>
      <c r="O136" s="69">
        <f t="shared" si="21"/>
        <v>11.07</v>
      </c>
      <c r="P136" s="142" t="s">
        <v>162</v>
      </c>
      <c r="Q136" s="143" t="s">
        <v>163</v>
      </c>
      <c r="R136" s="74"/>
      <c r="S136" s="158"/>
      <c r="T136" s="146">
        <f t="shared" si="11"/>
        <v>594</v>
      </c>
      <c r="U136" s="146">
        <f t="shared" si="20"/>
        <v>990</v>
      </c>
      <c r="V136" s="147" t="s">
        <v>38</v>
      </c>
      <c r="W136" s="74" t="b">
        <v>0</v>
      </c>
      <c r="X136" s="74" t="b">
        <v>0</v>
      </c>
      <c r="Y136" s="74" t="b">
        <v>1</v>
      </c>
      <c r="Z136" s="148" t="str">
        <f>IFERROR(__xludf.DUMMYFUNCTION("""COMPUTED_VALUE"""),"")</f>
        <v/>
      </c>
      <c r="AA136" s="148" t="str">
        <f>IFERROR(__xludf.DUMMYFUNCTION("""COMPUTED_VALUE"""),"")</f>
        <v/>
      </c>
      <c r="AB136" s="148" t="str">
        <f>IFERROR(__xludf.DUMMYFUNCTION("""COMPUTED_VALUE"""),"")</f>
        <v/>
      </c>
      <c r="AC136" s="148"/>
      <c r="AD136" s="153">
        <v>46127.0</v>
      </c>
      <c r="AE136" s="148"/>
      <c r="AF136" s="148" t="s">
        <v>1033</v>
      </c>
      <c r="AG136" s="148" t="s">
        <v>613</v>
      </c>
      <c r="AH136" s="148"/>
      <c r="AI136" s="148" t="s">
        <v>1034</v>
      </c>
      <c r="AJ136" s="148" t="s">
        <v>614</v>
      </c>
      <c r="AK136" s="148" t="s">
        <v>614</v>
      </c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</row>
    <row r="137" ht="14.25" customHeight="1">
      <c r="A137" s="152" t="s">
        <v>13</v>
      </c>
      <c r="B137" s="135" t="s">
        <v>1035</v>
      </c>
      <c r="C137" s="173">
        <v>46129.0</v>
      </c>
      <c r="D137" s="246">
        <v>109503.0</v>
      </c>
      <c r="E137" s="60">
        <v>26.10547</v>
      </c>
      <c r="F137" s="60">
        <v>26.35902</v>
      </c>
      <c r="G137" s="62" t="s">
        <v>1036</v>
      </c>
      <c r="H137" s="63" t="s">
        <v>34</v>
      </c>
      <c r="I137" s="155">
        <v>1.0</v>
      </c>
      <c r="J137" s="85">
        <v>8.17</v>
      </c>
      <c r="K137" s="80" t="s">
        <v>160</v>
      </c>
      <c r="L137" s="66" t="s">
        <v>1037</v>
      </c>
      <c r="M137" s="156"/>
      <c r="N137" s="150"/>
      <c r="O137" s="87">
        <v>8.17</v>
      </c>
      <c r="P137" s="151" t="s">
        <v>153</v>
      </c>
      <c r="Q137" s="143" t="s">
        <v>154</v>
      </c>
      <c r="R137" s="74" t="s">
        <v>1038</v>
      </c>
      <c r="S137" s="158"/>
      <c r="T137" s="146">
        <f t="shared" si="11"/>
        <v>438</v>
      </c>
      <c r="U137" s="146">
        <f t="shared" si="20"/>
        <v>730</v>
      </c>
      <c r="V137" s="147" t="s">
        <v>38</v>
      </c>
      <c r="W137" s="74" t="b">
        <v>0</v>
      </c>
      <c r="X137" s="74" t="b">
        <v>0</v>
      </c>
      <c r="Y137" s="74" t="b">
        <v>1</v>
      </c>
      <c r="Z137" s="148" t="str">
        <f>IFERROR(__xludf.DUMMYFUNCTION("""COMPUTED_VALUE"""),"#REF!")</f>
        <v>#REF!</v>
      </c>
      <c r="AA137" s="148" t="str">
        <f>IFERROR(__xludf.DUMMYFUNCTION("""COMPUTED_VALUE"""),"#REF!")</f>
        <v>#REF!</v>
      </c>
      <c r="AB137" s="148" t="str">
        <f>IFERROR(__xludf.DUMMYFUNCTION("""COMPUTED_VALUE"""),"#REF!")</f>
        <v>#REF!</v>
      </c>
      <c r="AC137" s="148"/>
      <c r="AD137" s="153">
        <v>46129.0</v>
      </c>
      <c r="AE137" s="148"/>
      <c r="AF137" s="47">
        <v>109503.0</v>
      </c>
      <c r="AG137" s="148" t="s">
        <v>1039</v>
      </c>
      <c r="AH137" s="148"/>
      <c r="AI137" s="148" t="s">
        <v>1036</v>
      </c>
      <c r="AJ137" s="148" t="e">
        <v>#REF!</v>
      </c>
      <c r="AK137" s="148" t="e">
        <v>#REF!</v>
      </c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</row>
    <row r="138" ht="14.25" customHeight="1">
      <c r="A138" s="152" t="s">
        <v>13</v>
      </c>
      <c r="B138" s="135" t="s">
        <v>1035</v>
      </c>
      <c r="C138" s="173">
        <v>46129.0</v>
      </c>
      <c r="D138" s="161">
        <v>109504.0</v>
      </c>
      <c r="E138" s="60">
        <v>25.10009</v>
      </c>
      <c r="F138" s="60">
        <v>26.35909</v>
      </c>
      <c r="G138" s="62" t="s">
        <v>1040</v>
      </c>
      <c r="H138" s="160" t="s">
        <v>961</v>
      </c>
      <c r="I138" s="155">
        <v>1.0</v>
      </c>
      <c r="J138" s="85">
        <v>3.44</v>
      </c>
      <c r="K138" s="80" t="s">
        <v>57</v>
      </c>
      <c r="L138" s="66" t="s">
        <v>1041</v>
      </c>
      <c r="M138" s="156"/>
      <c r="N138" s="150"/>
      <c r="O138" s="87">
        <v>3.44</v>
      </c>
      <c r="P138" s="151" t="s">
        <v>153</v>
      </c>
      <c r="Q138" s="143" t="s">
        <v>154</v>
      </c>
      <c r="R138" s="74" t="s">
        <v>1038</v>
      </c>
      <c r="S138" s="158"/>
      <c r="T138" s="146">
        <f t="shared" si="11"/>
        <v>144</v>
      </c>
      <c r="U138" s="146">
        <f>round((O138*69)+(550*N138),-1)</f>
        <v>240</v>
      </c>
      <c r="V138" s="147" t="s">
        <v>38</v>
      </c>
      <c r="W138" s="74" t="b">
        <v>0</v>
      </c>
      <c r="X138" s="74" t="b">
        <v>0</v>
      </c>
      <c r="Y138" s="74" t="b">
        <v>1</v>
      </c>
      <c r="Z138" s="148" t="str">
        <f>IFERROR(__xludf.DUMMYFUNCTION("""COMPUTED_VALUE"""),"#REF!")</f>
        <v>#REF!</v>
      </c>
      <c r="AA138" s="148" t="str">
        <f>IFERROR(__xludf.DUMMYFUNCTION("""COMPUTED_VALUE"""),"#REF!")</f>
        <v>#REF!</v>
      </c>
      <c r="AB138" s="148" t="str">
        <f>IFERROR(__xludf.DUMMYFUNCTION("""COMPUTED_VALUE"""),"#REF!")</f>
        <v>#REF!</v>
      </c>
      <c r="AC138" s="148"/>
      <c r="AD138" s="153">
        <v>46129.0</v>
      </c>
      <c r="AE138" s="148"/>
      <c r="AF138" s="47">
        <v>109504.0</v>
      </c>
      <c r="AG138" s="148" t="s">
        <v>1042</v>
      </c>
      <c r="AH138" s="148"/>
      <c r="AI138" s="148" t="s">
        <v>1040</v>
      </c>
      <c r="AJ138" s="148" t="e">
        <v>#REF!</v>
      </c>
      <c r="AK138" s="148" t="e">
        <v>#REF!</v>
      </c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</row>
    <row r="139" ht="14.25" customHeight="1">
      <c r="A139" s="152" t="s">
        <v>13</v>
      </c>
      <c r="B139" s="135" t="s">
        <v>1035</v>
      </c>
      <c r="C139" s="173">
        <v>46129.0</v>
      </c>
      <c r="D139" s="246">
        <v>109505.0</v>
      </c>
      <c r="E139" s="60">
        <v>26.10595</v>
      </c>
      <c r="F139" s="60">
        <v>26.36063</v>
      </c>
      <c r="G139" s="62" t="s">
        <v>1043</v>
      </c>
      <c r="H139" s="63" t="s">
        <v>45</v>
      </c>
      <c r="I139" s="155">
        <v>1.0</v>
      </c>
      <c r="J139" s="85">
        <v>5.7</v>
      </c>
      <c r="K139" s="80" t="s">
        <v>269</v>
      </c>
      <c r="L139" s="66" t="s">
        <v>1044</v>
      </c>
      <c r="M139" s="156"/>
      <c r="N139" s="150"/>
      <c r="O139" s="87">
        <v>5.7</v>
      </c>
      <c r="P139" s="151" t="s">
        <v>153</v>
      </c>
      <c r="Q139" s="143" t="s">
        <v>154</v>
      </c>
      <c r="R139" s="74" t="s">
        <v>1038</v>
      </c>
      <c r="S139" s="158"/>
      <c r="T139" s="146">
        <f t="shared" si="11"/>
        <v>306</v>
      </c>
      <c r="U139" s="146">
        <f>round((O139*89)+(550*N139),-1)</f>
        <v>510</v>
      </c>
      <c r="V139" s="147" t="s">
        <v>38</v>
      </c>
      <c r="W139" s="74" t="b">
        <v>0</v>
      </c>
      <c r="X139" s="74" t="b">
        <v>0</v>
      </c>
      <c r="Y139" s="74" t="b">
        <v>1</v>
      </c>
      <c r="Z139" s="148" t="str">
        <f>IFERROR(__xludf.DUMMYFUNCTION("""COMPUTED_VALUE"""),"#REF!")</f>
        <v>#REF!</v>
      </c>
      <c r="AA139" s="148" t="str">
        <f>IFERROR(__xludf.DUMMYFUNCTION("""COMPUTED_VALUE"""),"#REF!")</f>
        <v>#REF!</v>
      </c>
      <c r="AB139" s="148" t="str">
        <f>IFERROR(__xludf.DUMMYFUNCTION("""COMPUTED_VALUE"""),"#REF!")</f>
        <v>#REF!</v>
      </c>
      <c r="AC139" s="148"/>
      <c r="AD139" s="153">
        <v>46129.0</v>
      </c>
      <c r="AE139" s="148"/>
      <c r="AF139" s="47">
        <v>109505.0</v>
      </c>
      <c r="AG139" s="148" t="s">
        <v>1045</v>
      </c>
      <c r="AH139" s="148"/>
      <c r="AI139" s="148" t="s">
        <v>1043</v>
      </c>
      <c r="AJ139" s="148" t="e">
        <v>#REF!</v>
      </c>
      <c r="AK139" s="148" t="e">
        <v>#REF!</v>
      </c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</row>
    <row r="140" ht="14.25" customHeight="1">
      <c r="A140" s="152" t="s">
        <v>13</v>
      </c>
      <c r="B140" s="135" t="s">
        <v>1035</v>
      </c>
      <c r="C140" s="173">
        <v>46129.0</v>
      </c>
      <c r="D140" s="161">
        <v>109506.0</v>
      </c>
      <c r="E140" s="60">
        <v>26.10342</v>
      </c>
      <c r="F140" s="60">
        <v>26.3523</v>
      </c>
      <c r="G140" s="62" t="s">
        <v>1046</v>
      </c>
      <c r="H140" s="160" t="s">
        <v>106</v>
      </c>
      <c r="I140" s="155">
        <v>1.0</v>
      </c>
      <c r="J140" s="85">
        <v>3.45</v>
      </c>
      <c r="K140" s="80" t="s">
        <v>188</v>
      </c>
      <c r="L140" s="66" t="s">
        <v>1047</v>
      </c>
      <c r="M140" s="156">
        <v>6.0</v>
      </c>
      <c r="N140" s="247">
        <v>0.30000000000000004</v>
      </c>
      <c r="O140" s="87">
        <v>3.39</v>
      </c>
      <c r="P140" s="151" t="s">
        <v>153</v>
      </c>
      <c r="Q140" s="143" t="s">
        <v>154</v>
      </c>
      <c r="R140" s="74" t="s">
        <v>1038</v>
      </c>
      <c r="S140" s="158"/>
      <c r="T140" s="146">
        <f t="shared" si="11"/>
        <v>144</v>
      </c>
      <c r="U140" s="146">
        <f>round((O140*69)+(10*N140),-1)</f>
        <v>240</v>
      </c>
      <c r="V140" s="147" t="s">
        <v>38</v>
      </c>
      <c r="W140" s="74" t="b">
        <v>1</v>
      </c>
      <c r="X140" s="74" t="b">
        <v>0</v>
      </c>
      <c r="Y140" s="74" t="b">
        <v>1</v>
      </c>
      <c r="Z140" s="148" t="str">
        <f>IFERROR(__xludf.DUMMYFUNCTION("""COMPUTED_VALUE"""),"#REF!")</f>
        <v>#REF!</v>
      </c>
      <c r="AA140" s="148" t="str">
        <f>IFERROR(__xludf.DUMMYFUNCTION("""COMPUTED_VALUE"""),"#REF!")</f>
        <v>#REF!</v>
      </c>
      <c r="AB140" s="148" t="str">
        <f>IFERROR(__xludf.DUMMYFUNCTION("""COMPUTED_VALUE"""),"#REF!")</f>
        <v>#REF!</v>
      </c>
      <c r="AC140" s="148"/>
      <c r="AD140" s="153">
        <v>46129.0</v>
      </c>
      <c r="AE140" s="148"/>
      <c r="AF140" s="47">
        <v>109506.0</v>
      </c>
      <c r="AG140" s="148" t="s">
        <v>1048</v>
      </c>
      <c r="AH140" s="148"/>
      <c r="AI140" s="148" t="s">
        <v>1046</v>
      </c>
      <c r="AJ140" s="148" t="e">
        <v>#REF!</v>
      </c>
      <c r="AK140" s="148" t="e">
        <v>#REF!</v>
      </c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</row>
    <row r="141" ht="14.25" customHeight="1">
      <c r="A141" s="152" t="s">
        <v>13</v>
      </c>
      <c r="B141" s="135" t="s">
        <v>1049</v>
      </c>
      <c r="C141" s="77">
        <v>46130.0</v>
      </c>
      <c r="D141" s="161">
        <v>109508.0</v>
      </c>
      <c r="E141" s="60">
        <v>26.10656</v>
      </c>
      <c r="F141" s="60">
        <v>26.36326</v>
      </c>
      <c r="G141" s="62" t="s">
        <v>1050</v>
      </c>
      <c r="H141" s="160" t="s">
        <v>208</v>
      </c>
      <c r="I141" s="155">
        <v>1.0</v>
      </c>
      <c r="J141" s="85">
        <v>4.38</v>
      </c>
      <c r="K141" s="80" t="s">
        <v>46</v>
      </c>
      <c r="L141" s="66" t="s">
        <v>1051</v>
      </c>
      <c r="M141" s="156">
        <v>30.0</v>
      </c>
      <c r="N141" s="150">
        <v>0.181</v>
      </c>
      <c r="O141" s="87">
        <v>4.3438</v>
      </c>
      <c r="P141" s="142" t="s">
        <v>238</v>
      </c>
      <c r="Q141" s="143" t="s">
        <v>154</v>
      </c>
      <c r="R141" s="74" t="s">
        <v>1052</v>
      </c>
      <c r="S141" s="158"/>
      <c r="T141" s="146">
        <f t="shared" si="11"/>
        <v>186</v>
      </c>
      <c r="U141" s="146">
        <f t="shared" ref="U141:U142" si="22">round((O141*48)+(550*N141),-1)</f>
        <v>310</v>
      </c>
      <c r="V141" s="147" t="s">
        <v>38</v>
      </c>
      <c r="W141" s="74" t="b">
        <v>1</v>
      </c>
      <c r="X141" s="74" t="b">
        <v>0</v>
      </c>
      <c r="Y141" s="74" t="b">
        <v>1</v>
      </c>
      <c r="Z141" s="148" t="str">
        <f>IFERROR(__xludf.DUMMYFUNCTION("""COMPUTED_VALUE"""),"#REF!")</f>
        <v>#REF!</v>
      </c>
      <c r="AA141" s="148" t="str">
        <f>IFERROR(__xludf.DUMMYFUNCTION("""COMPUTED_VALUE"""),"#REF!")</f>
        <v>#REF!</v>
      </c>
      <c r="AB141" s="148" t="str">
        <f>IFERROR(__xludf.DUMMYFUNCTION("""COMPUTED_VALUE"""),"#REF!")</f>
        <v>#REF!</v>
      </c>
      <c r="AC141" s="148"/>
      <c r="AD141" s="153">
        <v>46130.0</v>
      </c>
      <c r="AE141" s="148"/>
      <c r="AF141" s="47">
        <v>109508.0</v>
      </c>
      <c r="AG141" s="148" t="s">
        <v>1053</v>
      </c>
      <c r="AH141" s="148"/>
      <c r="AI141" s="148" t="s">
        <v>1050</v>
      </c>
      <c r="AJ141" s="148" t="e">
        <v>#REF!</v>
      </c>
      <c r="AK141" s="148" t="e">
        <v>#REF!</v>
      </c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</row>
    <row r="142" ht="14.25" customHeight="1">
      <c r="A142" s="152" t="s">
        <v>13</v>
      </c>
      <c r="B142" s="135" t="s">
        <v>1049</v>
      </c>
      <c r="C142" s="77">
        <v>46130.0</v>
      </c>
      <c r="D142" s="161">
        <v>109509.0</v>
      </c>
      <c r="E142" s="60">
        <v>26.10439</v>
      </c>
      <c r="F142" s="60">
        <v>26.36188</v>
      </c>
      <c r="G142" s="62" t="s">
        <v>1054</v>
      </c>
      <c r="H142" s="160" t="s">
        <v>208</v>
      </c>
      <c r="I142" s="155">
        <v>1.0</v>
      </c>
      <c r="J142" s="85">
        <v>3.0</v>
      </c>
      <c r="K142" s="80" t="s">
        <v>87</v>
      </c>
      <c r="L142" s="66" t="s">
        <v>1055</v>
      </c>
      <c r="M142" s="156">
        <v>21.0</v>
      </c>
      <c r="N142" s="150">
        <v>0.519</v>
      </c>
      <c r="O142" s="87">
        <v>2.8962</v>
      </c>
      <c r="P142" s="151" t="s">
        <v>153</v>
      </c>
      <c r="Q142" s="143" t="s">
        <v>154</v>
      </c>
      <c r="R142" s="74" t="s">
        <v>1038</v>
      </c>
      <c r="S142" s="158"/>
      <c r="T142" s="146">
        <f t="shared" si="11"/>
        <v>252</v>
      </c>
      <c r="U142" s="146">
        <f t="shared" si="22"/>
        <v>420</v>
      </c>
      <c r="V142" s="147" t="s">
        <v>38</v>
      </c>
      <c r="W142" s="74" t="b">
        <v>1</v>
      </c>
      <c r="X142" s="74" t="b">
        <v>0</v>
      </c>
      <c r="Y142" s="74" t="b">
        <v>1</v>
      </c>
      <c r="Z142" s="148" t="str">
        <f>IFERROR(__xludf.DUMMYFUNCTION("""COMPUTED_VALUE"""),"#REF!")</f>
        <v>#REF!</v>
      </c>
      <c r="AA142" s="148" t="str">
        <f>IFERROR(__xludf.DUMMYFUNCTION("""COMPUTED_VALUE"""),"#REF!")</f>
        <v>#REF!</v>
      </c>
      <c r="AB142" s="148" t="str">
        <f>IFERROR(__xludf.DUMMYFUNCTION("""COMPUTED_VALUE"""),"#REF!")</f>
        <v>#REF!</v>
      </c>
      <c r="AC142" s="148"/>
      <c r="AD142" s="153">
        <v>46130.0</v>
      </c>
      <c r="AE142" s="148"/>
      <c r="AF142" s="47">
        <v>109509.0</v>
      </c>
      <c r="AG142" s="148" t="s">
        <v>1056</v>
      </c>
      <c r="AH142" s="148"/>
      <c r="AI142" s="148" t="s">
        <v>1054</v>
      </c>
      <c r="AJ142" s="148" t="e">
        <v>#REF!</v>
      </c>
      <c r="AK142" s="148" t="e">
        <v>#REF!</v>
      </c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</row>
    <row r="143" ht="14.25" customHeight="1">
      <c r="A143" s="152" t="s">
        <v>13</v>
      </c>
      <c r="B143" s="135" t="s">
        <v>1049</v>
      </c>
      <c r="C143" s="77">
        <v>46130.0</v>
      </c>
      <c r="D143" s="161">
        <v>109510.0</v>
      </c>
      <c r="E143" s="60">
        <v>26.10608</v>
      </c>
      <c r="F143" s="60">
        <v>26.36097</v>
      </c>
      <c r="G143" s="62" t="s">
        <v>1057</v>
      </c>
      <c r="H143" s="63" t="s">
        <v>34</v>
      </c>
      <c r="I143" s="155">
        <v>1.0</v>
      </c>
      <c r="J143" s="85">
        <v>37.74</v>
      </c>
      <c r="K143" s="80" t="s">
        <v>77</v>
      </c>
      <c r="L143" s="66" t="s">
        <v>1058</v>
      </c>
      <c r="M143" s="156"/>
      <c r="N143" s="150"/>
      <c r="O143" s="87">
        <v>37.74</v>
      </c>
      <c r="P143" s="151" t="s">
        <v>153</v>
      </c>
      <c r="Q143" s="143" t="s">
        <v>154</v>
      </c>
      <c r="R143" s="74" t="s">
        <v>1052</v>
      </c>
      <c r="S143" s="158"/>
      <c r="T143" s="146">
        <f t="shared" si="11"/>
        <v>2016</v>
      </c>
      <c r="U143" s="146">
        <f>round((O143*89)+(550*N143),-1)</f>
        <v>3360</v>
      </c>
      <c r="V143" s="147" t="s">
        <v>38</v>
      </c>
      <c r="W143" s="74" t="b">
        <v>0</v>
      </c>
      <c r="X143" s="74" t="b">
        <v>0</v>
      </c>
      <c r="Y143" s="74" t="b">
        <v>1</v>
      </c>
      <c r="Z143" s="148" t="str">
        <f>IFERROR(__xludf.DUMMYFUNCTION("""COMPUTED_VALUE"""),"#REF!")</f>
        <v>#REF!</v>
      </c>
      <c r="AA143" s="148" t="str">
        <f>IFERROR(__xludf.DUMMYFUNCTION("""COMPUTED_VALUE"""),"#REF!")</f>
        <v>#REF!</v>
      </c>
      <c r="AB143" s="148" t="str">
        <f>IFERROR(__xludf.DUMMYFUNCTION("""COMPUTED_VALUE"""),"#REF!")</f>
        <v>#REF!</v>
      </c>
      <c r="AC143" s="148"/>
      <c r="AD143" s="153">
        <v>46130.0</v>
      </c>
      <c r="AE143" s="148"/>
      <c r="AF143" s="47">
        <v>109510.0</v>
      </c>
      <c r="AG143" s="148" t="s">
        <v>1059</v>
      </c>
      <c r="AH143" s="148"/>
      <c r="AI143" s="148" t="s">
        <v>1057</v>
      </c>
      <c r="AJ143" s="148" t="e">
        <v>#REF!</v>
      </c>
      <c r="AK143" s="148" t="e">
        <v>#REF!</v>
      </c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</row>
    <row r="144" ht="14.25" customHeight="1">
      <c r="A144" s="152" t="s">
        <v>13</v>
      </c>
      <c r="B144" s="135" t="s">
        <v>1060</v>
      </c>
      <c r="C144" s="77">
        <v>46132.0</v>
      </c>
      <c r="D144" s="161">
        <v>109791.0</v>
      </c>
      <c r="E144" s="60">
        <v>26.10539</v>
      </c>
      <c r="F144" s="60">
        <v>26.35831</v>
      </c>
      <c r="G144" s="62" t="s">
        <v>1061</v>
      </c>
      <c r="H144" s="160" t="s">
        <v>1062</v>
      </c>
      <c r="I144" s="155">
        <v>1.0</v>
      </c>
      <c r="J144" s="85">
        <v>2.4</v>
      </c>
      <c r="K144" s="80" t="s">
        <v>188</v>
      </c>
      <c r="L144" s="66" t="s">
        <v>1063</v>
      </c>
      <c r="M144" s="156">
        <v>30.0</v>
      </c>
      <c r="N144" s="157">
        <v>0.16</v>
      </c>
      <c r="O144" s="87">
        <v>2.368</v>
      </c>
      <c r="P144" s="142" t="s">
        <v>298</v>
      </c>
      <c r="Q144" s="143" t="s">
        <v>154</v>
      </c>
      <c r="R144" s="74" t="s">
        <v>1052</v>
      </c>
      <c r="S144" s="158"/>
      <c r="T144" s="146">
        <f t="shared" si="11"/>
        <v>96</v>
      </c>
      <c r="U144" s="146">
        <f>round((O144*69)+(10*N144),-1)</f>
        <v>160</v>
      </c>
      <c r="V144" s="147" t="s">
        <v>38</v>
      </c>
      <c r="W144" s="74" t="b">
        <v>0</v>
      </c>
      <c r="X144" s="74" t="b">
        <v>0</v>
      </c>
      <c r="Y144" s="74" t="b">
        <v>0</v>
      </c>
      <c r="Z144" s="148" t="str">
        <f>IFERROR(__xludf.DUMMYFUNCTION("""COMPUTED_VALUE"""),"#REF!")</f>
        <v>#REF!</v>
      </c>
      <c r="AA144" s="148" t="str">
        <f>IFERROR(__xludf.DUMMYFUNCTION("""COMPUTED_VALUE"""),"#REF!")</f>
        <v>#REF!</v>
      </c>
      <c r="AB144" s="148" t="str">
        <f>IFERROR(__xludf.DUMMYFUNCTION("""COMPUTED_VALUE"""),"#REF!")</f>
        <v>#REF!</v>
      </c>
      <c r="AC144" s="148"/>
      <c r="AD144" s="153">
        <v>46132.0</v>
      </c>
      <c r="AE144" s="148"/>
      <c r="AF144" s="47">
        <v>109791.0</v>
      </c>
      <c r="AG144" s="148" t="s">
        <v>1064</v>
      </c>
      <c r="AH144" s="148"/>
      <c r="AI144" s="148" t="s">
        <v>1061</v>
      </c>
      <c r="AJ144" s="148" t="e">
        <v>#REF!</v>
      </c>
      <c r="AK144" s="148" t="e">
        <v>#REF!</v>
      </c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</row>
    <row r="145" ht="14.25" customHeight="1">
      <c r="A145" s="152" t="s">
        <v>13</v>
      </c>
      <c r="B145" s="135" t="s">
        <v>1060</v>
      </c>
      <c r="C145" s="77">
        <v>46132.0</v>
      </c>
      <c r="D145" s="161">
        <v>109719.0</v>
      </c>
      <c r="E145" s="60">
        <v>25.10258</v>
      </c>
      <c r="F145" s="60">
        <v>25.34965</v>
      </c>
      <c r="G145" s="62" t="s">
        <v>1065</v>
      </c>
      <c r="H145" s="63" t="s">
        <v>34</v>
      </c>
      <c r="I145" s="155">
        <v>1.0</v>
      </c>
      <c r="J145" s="85">
        <v>4.13</v>
      </c>
      <c r="K145" s="80" t="s">
        <v>188</v>
      </c>
      <c r="L145" s="66" t="s">
        <v>1066</v>
      </c>
      <c r="M145" s="156">
        <v>2.0</v>
      </c>
      <c r="N145" s="157">
        <v>0.274</v>
      </c>
      <c r="O145" s="87">
        <v>4.0752</v>
      </c>
      <c r="P145" s="151" t="s">
        <v>162</v>
      </c>
      <c r="Q145" s="143" t="s">
        <v>163</v>
      </c>
      <c r="R145" s="74"/>
      <c r="S145" s="158"/>
      <c r="T145" s="146">
        <f t="shared" si="11"/>
        <v>222</v>
      </c>
      <c r="U145" s="146">
        <f>round((O145*89)+(10*N145),-1)</f>
        <v>370</v>
      </c>
      <c r="V145" s="147" t="s">
        <v>38</v>
      </c>
      <c r="W145" s="74" t="b">
        <v>0</v>
      </c>
      <c r="X145" s="74" t="b">
        <v>1</v>
      </c>
      <c r="Y145" s="74" t="b">
        <v>1</v>
      </c>
      <c r="Z145" s="148" t="str">
        <f>IFERROR(__xludf.DUMMYFUNCTION("""COMPUTED_VALUE"""),"#REF!")</f>
        <v>#REF!</v>
      </c>
      <c r="AA145" s="148" t="str">
        <f>IFERROR(__xludf.DUMMYFUNCTION("""COMPUTED_VALUE"""),"#REF!")</f>
        <v>#REF!</v>
      </c>
      <c r="AB145" s="148" t="str">
        <f>IFERROR(__xludf.DUMMYFUNCTION("""COMPUTED_VALUE"""),"#REF!")</f>
        <v>#REF!</v>
      </c>
      <c r="AC145" s="148"/>
      <c r="AD145" s="153">
        <v>46132.0</v>
      </c>
      <c r="AE145" s="148"/>
      <c r="AF145" s="47">
        <v>109719.0</v>
      </c>
      <c r="AG145" s="148" t="s">
        <v>1067</v>
      </c>
      <c r="AH145" s="148"/>
      <c r="AI145" s="148" t="s">
        <v>1065</v>
      </c>
      <c r="AJ145" s="148" t="e">
        <v>#REF!</v>
      </c>
      <c r="AK145" s="148" t="e">
        <v>#REF!</v>
      </c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</row>
    <row r="146" ht="14.25" customHeight="1">
      <c r="A146" s="152" t="s">
        <v>13</v>
      </c>
      <c r="B146" s="135" t="s">
        <v>1060</v>
      </c>
      <c r="C146" s="77">
        <v>46132.0</v>
      </c>
      <c r="D146" s="161">
        <v>109720.0</v>
      </c>
      <c r="E146" s="60">
        <v>26.10578</v>
      </c>
      <c r="F146" s="60">
        <v>26.36006</v>
      </c>
      <c r="G146" s="62" t="s">
        <v>1068</v>
      </c>
      <c r="H146" s="63" t="s">
        <v>34</v>
      </c>
      <c r="I146" s="155">
        <v>1.0</v>
      </c>
      <c r="J146" s="85">
        <v>29.22</v>
      </c>
      <c r="K146" s="80" t="s">
        <v>160</v>
      </c>
      <c r="L146" s="66" t="s">
        <v>1069</v>
      </c>
      <c r="M146" s="156"/>
      <c r="N146" s="157"/>
      <c r="O146" s="87">
        <v>29.22</v>
      </c>
      <c r="P146" s="151" t="s">
        <v>162</v>
      </c>
      <c r="Q146" s="143" t="s">
        <v>154</v>
      </c>
      <c r="R146" s="74" t="s">
        <v>155</v>
      </c>
      <c r="S146" s="158"/>
      <c r="T146" s="146">
        <f t="shared" si="11"/>
        <v>1560</v>
      </c>
      <c r="U146" s="146">
        <f t="shared" ref="U146:U161" si="23">round((O146*89)+(550*N146),-1)</f>
        <v>2600</v>
      </c>
      <c r="V146" s="147" t="s">
        <v>38</v>
      </c>
      <c r="W146" s="74" t="b">
        <v>0</v>
      </c>
      <c r="X146" s="74" t="b">
        <v>0</v>
      </c>
      <c r="Y146" s="74" t="b">
        <v>1</v>
      </c>
      <c r="Z146" s="148" t="str">
        <f>IFERROR(__xludf.DUMMYFUNCTION("""COMPUTED_VALUE"""),"#REF!")</f>
        <v>#REF!</v>
      </c>
      <c r="AA146" s="148" t="str">
        <f>IFERROR(__xludf.DUMMYFUNCTION("""COMPUTED_VALUE"""),"#REF!")</f>
        <v>#REF!</v>
      </c>
      <c r="AB146" s="148" t="str">
        <f>IFERROR(__xludf.DUMMYFUNCTION("""COMPUTED_VALUE"""),"#REF!")</f>
        <v>#REF!</v>
      </c>
      <c r="AC146" s="148"/>
      <c r="AD146" s="153">
        <v>46132.0</v>
      </c>
      <c r="AE146" s="148"/>
      <c r="AF146" s="47">
        <v>109720.0</v>
      </c>
      <c r="AG146" s="148" t="s">
        <v>1070</v>
      </c>
      <c r="AH146" s="148"/>
      <c r="AI146" s="148" t="s">
        <v>1068</v>
      </c>
      <c r="AJ146" s="148" t="e">
        <v>#REF!</v>
      </c>
      <c r="AK146" s="148" t="e">
        <v>#REF!</v>
      </c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</row>
    <row r="147" ht="14.25" customHeight="1">
      <c r="A147" s="152" t="s">
        <v>13</v>
      </c>
      <c r="B147" s="135" t="s">
        <v>1060</v>
      </c>
      <c r="C147" s="77">
        <v>46132.0</v>
      </c>
      <c r="D147" s="161">
        <v>109721.0</v>
      </c>
      <c r="E147" s="60">
        <v>26.10492</v>
      </c>
      <c r="F147" s="207">
        <v>26.35671</v>
      </c>
      <c r="G147" s="62" t="s">
        <v>1071</v>
      </c>
      <c r="H147" s="63" t="s">
        <v>34</v>
      </c>
      <c r="I147" s="155">
        <v>1.0</v>
      </c>
      <c r="J147" s="85">
        <v>22.25</v>
      </c>
      <c r="K147" s="80" t="s">
        <v>160</v>
      </c>
      <c r="L147" s="66" t="s">
        <v>1072</v>
      </c>
      <c r="M147" s="156"/>
      <c r="N147" s="157"/>
      <c r="O147" s="87">
        <v>22.25</v>
      </c>
      <c r="P147" s="151" t="s">
        <v>162</v>
      </c>
      <c r="Q147" s="143" t="s">
        <v>163</v>
      </c>
      <c r="R147" s="74"/>
      <c r="S147" s="158"/>
      <c r="T147" s="146">
        <f t="shared" si="11"/>
        <v>1188</v>
      </c>
      <c r="U147" s="146">
        <f t="shared" si="23"/>
        <v>1980</v>
      </c>
      <c r="V147" s="147" t="s">
        <v>38</v>
      </c>
      <c r="W147" s="74" t="b">
        <v>0</v>
      </c>
      <c r="X147" s="74" t="b">
        <v>0</v>
      </c>
      <c r="Y147" s="74" t="b">
        <v>1</v>
      </c>
      <c r="Z147" s="148" t="str">
        <f>IFERROR(__xludf.DUMMYFUNCTION("""COMPUTED_VALUE"""),"#REF!")</f>
        <v>#REF!</v>
      </c>
      <c r="AA147" s="148" t="str">
        <f>IFERROR(__xludf.DUMMYFUNCTION("""COMPUTED_VALUE"""),"#REF!")</f>
        <v>#REF!</v>
      </c>
      <c r="AB147" s="148" t="str">
        <f>IFERROR(__xludf.DUMMYFUNCTION("""COMPUTED_VALUE"""),"#REF!")</f>
        <v>#REF!</v>
      </c>
      <c r="AC147" s="148"/>
      <c r="AD147" s="153">
        <v>46132.0</v>
      </c>
      <c r="AE147" s="148"/>
      <c r="AF147" s="47">
        <v>109721.0</v>
      </c>
      <c r="AG147" s="148" t="s">
        <v>1073</v>
      </c>
      <c r="AH147" s="148"/>
      <c r="AI147" s="148" t="s">
        <v>1071</v>
      </c>
      <c r="AJ147" s="148" t="e">
        <v>#REF!</v>
      </c>
      <c r="AK147" s="148" t="e">
        <v>#REF!</v>
      </c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</row>
    <row r="148" ht="14.25" customHeight="1">
      <c r="A148" s="152" t="s">
        <v>13</v>
      </c>
      <c r="B148" s="135" t="s">
        <v>1060</v>
      </c>
      <c r="C148" s="77">
        <v>46132.0</v>
      </c>
      <c r="D148" s="161">
        <v>109722.0</v>
      </c>
      <c r="E148" s="60">
        <v>26.10493</v>
      </c>
      <c r="F148" s="207">
        <v>26.35687</v>
      </c>
      <c r="G148" s="62" t="s">
        <v>1074</v>
      </c>
      <c r="H148" s="63" t="s">
        <v>34</v>
      </c>
      <c r="I148" s="155">
        <v>1.0</v>
      </c>
      <c r="J148" s="85">
        <v>27.04</v>
      </c>
      <c r="K148" s="80" t="s">
        <v>160</v>
      </c>
      <c r="L148" s="66" t="s">
        <v>1075</v>
      </c>
      <c r="M148" s="156"/>
      <c r="N148" s="157"/>
      <c r="O148" s="87">
        <v>27.04</v>
      </c>
      <c r="P148" s="151" t="s">
        <v>162</v>
      </c>
      <c r="Q148" s="143" t="s">
        <v>163</v>
      </c>
      <c r="R148" s="74"/>
      <c r="S148" s="158"/>
      <c r="T148" s="146">
        <f t="shared" si="11"/>
        <v>1446</v>
      </c>
      <c r="U148" s="146">
        <f t="shared" si="23"/>
        <v>2410</v>
      </c>
      <c r="V148" s="147" t="s">
        <v>38</v>
      </c>
      <c r="W148" s="74" t="b">
        <v>0</v>
      </c>
      <c r="X148" s="74" t="b">
        <v>0</v>
      </c>
      <c r="Y148" s="74" t="b">
        <v>1</v>
      </c>
      <c r="Z148" s="148" t="str">
        <f>IFERROR(__xludf.DUMMYFUNCTION("""COMPUTED_VALUE"""),"#REF!")</f>
        <v>#REF!</v>
      </c>
      <c r="AA148" s="148" t="str">
        <f>IFERROR(__xludf.DUMMYFUNCTION("""COMPUTED_VALUE"""),"#REF!")</f>
        <v>#REF!</v>
      </c>
      <c r="AB148" s="148" t="str">
        <f>IFERROR(__xludf.DUMMYFUNCTION("""COMPUTED_VALUE"""),"#REF!")</f>
        <v>#REF!</v>
      </c>
      <c r="AC148" s="148"/>
      <c r="AD148" s="153">
        <v>46132.0</v>
      </c>
      <c r="AE148" s="148"/>
      <c r="AF148" s="47">
        <v>109722.0</v>
      </c>
      <c r="AG148" s="148" t="s">
        <v>1076</v>
      </c>
      <c r="AH148" s="148"/>
      <c r="AI148" s="148" t="s">
        <v>1074</v>
      </c>
      <c r="AJ148" s="148" t="e">
        <v>#REF!</v>
      </c>
      <c r="AK148" s="148" t="e">
        <v>#REF!</v>
      </c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</row>
    <row r="149" ht="14.25" customHeight="1">
      <c r="A149" s="152" t="s">
        <v>13</v>
      </c>
      <c r="B149" s="135" t="s">
        <v>1060</v>
      </c>
      <c r="C149" s="77">
        <v>46132.0</v>
      </c>
      <c r="D149" s="161">
        <v>109723.0</v>
      </c>
      <c r="E149" s="60">
        <v>25.9882</v>
      </c>
      <c r="F149" s="60">
        <v>25.33778</v>
      </c>
      <c r="G149" s="62" t="s">
        <v>1077</v>
      </c>
      <c r="H149" s="63" t="s">
        <v>34</v>
      </c>
      <c r="I149" s="155">
        <v>1.0</v>
      </c>
      <c r="J149" s="85">
        <v>2.88</v>
      </c>
      <c r="K149" s="80" t="s">
        <v>68</v>
      </c>
      <c r="L149" s="66" t="s">
        <v>1078</v>
      </c>
      <c r="M149" s="156"/>
      <c r="N149" s="157"/>
      <c r="O149" s="87">
        <v>2.88</v>
      </c>
      <c r="P149" s="151" t="s">
        <v>162</v>
      </c>
      <c r="Q149" s="143" t="s">
        <v>154</v>
      </c>
      <c r="R149" s="74" t="s">
        <v>155</v>
      </c>
      <c r="S149" s="158"/>
      <c r="T149" s="146">
        <f t="shared" si="11"/>
        <v>156</v>
      </c>
      <c r="U149" s="146">
        <f t="shared" si="23"/>
        <v>260</v>
      </c>
      <c r="V149" s="147" t="s">
        <v>38</v>
      </c>
      <c r="W149" s="74" t="b">
        <v>0</v>
      </c>
      <c r="X149" s="74" t="b">
        <v>0</v>
      </c>
      <c r="Y149" s="74" t="b">
        <v>1</v>
      </c>
      <c r="Z149" s="148" t="str">
        <f>IFERROR(__xludf.DUMMYFUNCTION("""COMPUTED_VALUE"""),"#REF!")</f>
        <v>#REF!</v>
      </c>
      <c r="AA149" s="148" t="str">
        <f>IFERROR(__xludf.DUMMYFUNCTION("""COMPUTED_VALUE"""),"#REF!")</f>
        <v>#REF!</v>
      </c>
      <c r="AB149" s="148" t="str">
        <f>IFERROR(__xludf.DUMMYFUNCTION("""COMPUTED_VALUE"""),"#REF!")</f>
        <v>#REF!</v>
      </c>
      <c r="AC149" s="148"/>
      <c r="AD149" s="153">
        <v>46132.0</v>
      </c>
      <c r="AE149" s="148"/>
      <c r="AF149" s="47">
        <v>109723.0</v>
      </c>
      <c r="AG149" s="148" t="s">
        <v>1079</v>
      </c>
      <c r="AH149" s="148"/>
      <c r="AI149" s="148" t="s">
        <v>1077</v>
      </c>
      <c r="AJ149" s="148" t="e">
        <v>#REF!</v>
      </c>
      <c r="AK149" s="148" t="e">
        <v>#REF!</v>
      </c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</row>
    <row r="150" ht="14.25" customHeight="1">
      <c r="A150" s="152" t="s">
        <v>13</v>
      </c>
      <c r="B150" s="135" t="s">
        <v>1060</v>
      </c>
      <c r="C150" s="77">
        <v>46132.0</v>
      </c>
      <c r="D150" s="161">
        <v>109724.0</v>
      </c>
      <c r="E150" s="60">
        <v>25.9385</v>
      </c>
      <c r="F150" s="60">
        <v>25.33751</v>
      </c>
      <c r="G150" s="62" t="s">
        <v>1080</v>
      </c>
      <c r="H150" s="63" t="s">
        <v>34</v>
      </c>
      <c r="I150" s="155">
        <v>1.0</v>
      </c>
      <c r="J150" s="85">
        <v>2.34</v>
      </c>
      <c r="K150" s="80" t="s">
        <v>177</v>
      </c>
      <c r="L150" s="66" t="s">
        <v>1081</v>
      </c>
      <c r="M150" s="156"/>
      <c r="N150" s="157"/>
      <c r="O150" s="87">
        <v>2.34</v>
      </c>
      <c r="P150" s="151" t="s">
        <v>162</v>
      </c>
      <c r="Q150" s="143" t="s">
        <v>154</v>
      </c>
      <c r="R150" s="74" t="s">
        <v>155</v>
      </c>
      <c r="S150" s="158"/>
      <c r="T150" s="146">
        <f t="shared" si="11"/>
        <v>126</v>
      </c>
      <c r="U150" s="146">
        <f t="shared" si="23"/>
        <v>210</v>
      </c>
      <c r="V150" s="147" t="s">
        <v>38</v>
      </c>
      <c r="W150" s="74" t="b">
        <v>0</v>
      </c>
      <c r="X150" s="74" t="b">
        <v>0</v>
      </c>
      <c r="Y150" s="74" t="b">
        <v>1</v>
      </c>
      <c r="Z150" s="148" t="str">
        <f>IFERROR(__xludf.DUMMYFUNCTION("""COMPUTED_VALUE"""),"#REF!")</f>
        <v>#REF!</v>
      </c>
      <c r="AA150" s="148" t="str">
        <f>IFERROR(__xludf.DUMMYFUNCTION("""COMPUTED_VALUE"""),"#REF!")</f>
        <v>#REF!</v>
      </c>
      <c r="AB150" s="148" t="str">
        <f>IFERROR(__xludf.DUMMYFUNCTION("""COMPUTED_VALUE"""),"#REF!")</f>
        <v>#REF!</v>
      </c>
      <c r="AC150" s="148"/>
      <c r="AD150" s="153">
        <v>46132.0</v>
      </c>
      <c r="AE150" s="148"/>
      <c r="AF150" s="47">
        <v>109724.0</v>
      </c>
      <c r="AG150" s="148" t="s">
        <v>1082</v>
      </c>
      <c r="AH150" s="148"/>
      <c r="AI150" s="148" t="s">
        <v>1080</v>
      </c>
      <c r="AJ150" s="148" t="e">
        <v>#REF!</v>
      </c>
      <c r="AK150" s="148" t="e">
        <v>#REF!</v>
      </c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</row>
    <row r="151" ht="14.25" customHeight="1">
      <c r="A151" s="152" t="s">
        <v>13</v>
      </c>
      <c r="B151" s="135" t="s">
        <v>1060</v>
      </c>
      <c r="C151" s="77">
        <v>46132.0</v>
      </c>
      <c r="D151" s="161">
        <v>109725.0</v>
      </c>
      <c r="E151" s="60">
        <v>25.9386</v>
      </c>
      <c r="F151" s="60">
        <v>25.32571</v>
      </c>
      <c r="G151" s="62" t="s">
        <v>1083</v>
      </c>
      <c r="H151" s="63" t="s">
        <v>34</v>
      </c>
      <c r="I151" s="155">
        <v>1.0</v>
      </c>
      <c r="J151" s="85">
        <v>2.32</v>
      </c>
      <c r="K151" s="80" t="s">
        <v>177</v>
      </c>
      <c r="L151" s="66" t="s">
        <v>1084</v>
      </c>
      <c r="M151" s="156"/>
      <c r="N151" s="157"/>
      <c r="O151" s="87">
        <v>2.32</v>
      </c>
      <c r="P151" s="151" t="s">
        <v>162</v>
      </c>
      <c r="Q151" s="143" t="s">
        <v>154</v>
      </c>
      <c r="R151" s="74" t="s">
        <v>155</v>
      </c>
      <c r="S151" s="158"/>
      <c r="T151" s="146">
        <f t="shared" si="11"/>
        <v>126</v>
      </c>
      <c r="U151" s="146">
        <f t="shared" si="23"/>
        <v>210</v>
      </c>
      <c r="V151" s="147" t="s">
        <v>38</v>
      </c>
      <c r="W151" s="74" t="b">
        <v>0</v>
      </c>
      <c r="X151" s="74" t="b">
        <v>0</v>
      </c>
      <c r="Y151" s="74" t="b">
        <v>1</v>
      </c>
      <c r="Z151" s="148" t="str">
        <f>IFERROR(__xludf.DUMMYFUNCTION("""COMPUTED_VALUE"""),"#REF!")</f>
        <v>#REF!</v>
      </c>
      <c r="AA151" s="148" t="str">
        <f>IFERROR(__xludf.DUMMYFUNCTION("""COMPUTED_VALUE"""),"#REF!")</f>
        <v>#REF!</v>
      </c>
      <c r="AB151" s="148" t="str">
        <f>IFERROR(__xludf.DUMMYFUNCTION("""COMPUTED_VALUE"""),"#REF!")</f>
        <v>#REF!</v>
      </c>
      <c r="AC151" s="148"/>
      <c r="AD151" s="153">
        <v>46132.0</v>
      </c>
      <c r="AE151" s="148"/>
      <c r="AF151" s="47">
        <v>109725.0</v>
      </c>
      <c r="AG151" s="148" t="s">
        <v>1085</v>
      </c>
      <c r="AH151" s="148"/>
      <c r="AI151" s="148" t="s">
        <v>1083</v>
      </c>
      <c r="AJ151" s="148" t="e">
        <v>#REF!</v>
      </c>
      <c r="AK151" s="148" t="e">
        <v>#REF!</v>
      </c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</row>
    <row r="152" ht="14.25" customHeight="1">
      <c r="A152" s="152" t="s">
        <v>13</v>
      </c>
      <c r="B152" s="135" t="s">
        <v>1060</v>
      </c>
      <c r="C152" s="77">
        <v>46132.0</v>
      </c>
      <c r="D152" s="161">
        <v>109726.0</v>
      </c>
      <c r="E152" s="60">
        <v>25.9386</v>
      </c>
      <c r="F152" s="60">
        <v>25.3375</v>
      </c>
      <c r="G152" s="62" t="s">
        <v>1086</v>
      </c>
      <c r="H152" s="63" t="s">
        <v>34</v>
      </c>
      <c r="I152" s="155">
        <v>1.0</v>
      </c>
      <c r="J152" s="85">
        <v>2.29</v>
      </c>
      <c r="K152" s="80" t="s">
        <v>177</v>
      </c>
      <c r="L152" s="66" t="s">
        <v>1087</v>
      </c>
      <c r="M152" s="156"/>
      <c r="N152" s="157"/>
      <c r="O152" s="87">
        <v>2.29</v>
      </c>
      <c r="P152" s="151" t="s">
        <v>162</v>
      </c>
      <c r="Q152" s="143" t="s">
        <v>154</v>
      </c>
      <c r="R152" s="74" t="s">
        <v>155</v>
      </c>
      <c r="S152" s="158"/>
      <c r="T152" s="146">
        <f t="shared" si="11"/>
        <v>120</v>
      </c>
      <c r="U152" s="146">
        <f t="shared" si="23"/>
        <v>200</v>
      </c>
      <c r="V152" s="147" t="s">
        <v>38</v>
      </c>
      <c r="W152" s="74" t="b">
        <v>0</v>
      </c>
      <c r="X152" s="74" t="b">
        <v>0</v>
      </c>
      <c r="Y152" s="74" t="b">
        <v>1</v>
      </c>
      <c r="Z152" s="148" t="str">
        <f>IFERROR(__xludf.DUMMYFUNCTION("""COMPUTED_VALUE"""),"#REF!")</f>
        <v>#REF!</v>
      </c>
      <c r="AA152" s="148" t="str">
        <f>IFERROR(__xludf.DUMMYFUNCTION("""COMPUTED_VALUE"""),"#REF!")</f>
        <v>#REF!</v>
      </c>
      <c r="AB152" s="148" t="str">
        <f>IFERROR(__xludf.DUMMYFUNCTION("""COMPUTED_VALUE"""),"#REF!")</f>
        <v>#REF!</v>
      </c>
      <c r="AC152" s="148"/>
      <c r="AD152" s="153">
        <v>46132.0</v>
      </c>
      <c r="AE152" s="148"/>
      <c r="AF152" s="47">
        <v>109726.0</v>
      </c>
      <c r="AG152" s="148" t="s">
        <v>1088</v>
      </c>
      <c r="AH152" s="148"/>
      <c r="AI152" s="148" t="s">
        <v>1086</v>
      </c>
      <c r="AJ152" s="148" t="e">
        <v>#REF!</v>
      </c>
      <c r="AK152" s="148" t="e">
        <v>#REF!</v>
      </c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</row>
    <row r="153" ht="14.25" customHeight="1">
      <c r="A153" s="152" t="s">
        <v>13</v>
      </c>
      <c r="B153" s="135" t="s">
        <v>1060</v>
      </c>
      <c r="C153" s="77">
        <v>46132.0</v>
      </c>
      <c r="D153" s="161">
        <v>109727.0</v>
      </c>
      <c r="E153" s="60">
        <v>25.9497</v>
      </c>
      <c r="F153" s="60">
        <v>25.3359</v>
      </c>
      <c r="G153" s="62" t="s">
        <v>1089</v>
      </c>
      <c r="H153" s="63" t="s">
        <v>34</v>
      </c>
      <c r="I153" s="155">
        <v>1.0</v>
      </c>
      <c r="J153" s="85">
        <v>2.54</v>
      </c>
      <c r="K153" s="80" t="s">
        <v>177</v>
      </c>
      <c r="L153" s="66" t="s">
        <v>1090</v>
      </c>
      <c r="M153" s="156"/>
      <c r="N153" s="157"/>
      <c r="O153" s="87">
        <v>2.54</v>
      </c>
      <c r="P153" s="151" t="s">
        <v>162</v>
      </c>
      <c r="Q153" s="143" t="s">
        <v>154</v>
      </c>
      <c r="R153" s="74" t="s">
        <v>155</v>
      </c>
      <c r="S153" s="158"/>
      <c r="T153" s="146">
        <f t="shared" si="11"/>
        <v>138</v>
      </c>
      <c r="U153" s="146">
        <f t="shared" si="23"/>
        <v>230</v>
      </c>
      <c r="V153" s="147" t="s">
        <v>38</v>
      </c>
      <c r="W153" s="74" t="b">
        <v>0</v>
      </c>
      <c r="X153" s="74" t="b">
        <v>0</v>
      </c>
      <c r="Y153" s="74" t="b">
        <v>1</v>
      </c>
      <c r="Z153" s="148" t="str">
        <f>IFERROR(__xludf.DUMMYFUNCTION("""COMPUTED_VALUE"""),"#REF!")</f>
        <v>#REF!</v>
      </c>
      <c r="AA153" s="148" t="str">
        <f>IFERROR(__xludf.DUMMYFUNCTION("""COMPUTED_VALUE"""),"#REF!")</f>
        <v>#REF!</v>
      </c>
      <c r="AB153" s="148" t="str">
        <f>IFERROR(__xludf.DUMMYFUNCTION("""COMPUTED_VALUE"""),"#REF!")</f>
        <v>#REF!</v>
      </c>
      <c r="AC153" s="148"/>
      <c r="AD153" s="153">
        <v>46132.0</v>
      </c>
      <c r="AE153" s="148"/>
      <c r="AF153" s="47">
        <v>109727.0</v>
      </c>
      <c r="AG153" s="148" t="s">
        <v>1091</v>
      </c>
      <c r="AH153" s="148"/>
      <c r="AI153" s="148" t="s">
        <v>1089</v>
      </c>
      <c r="AJ153" s="148" t="e">
        <v>#REF!</v>
      </c>
      <c r="AK153" s="148" t="e">
        <v>#REF!</v>
      </c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</row>
    <row r="154" ht="14.25" customHeight="1">
      <c r="A154" s="152" t="s">
        <v>13</v>
      </c>
      <c r="B154" s="135" t="s">
        <v>1060</v>
      </c>
      <c r="C154" s="77">
        <v>46132.0</v>
      </c>
      <c r="D154" s="161">
        <v>109728.0</v>
      </c>
      <c r="E154" s="60">
        <v>25.9497</v>
      </c>
      <c r="F154" s="60">
        <v>25.33591</v>
      </c>
      <c r="G154" s="62" t="s">
        <v>1092</v>
      </c>
      <c r="H154" s="63" t="s">
        <v>34</v>
      </c>
      <c r="I154" s="155">
        <v>1.0</v>
      </c>
      <c r="J154" s="85">
        <v>2.41</v>
      </c>
      <c r="K154" s="80" t="s">
        <v>177</v>
      </c>
      <c r="L154" s="66" t="s">
        <v>1093</v>
      </c>
      <c r="M154" s="156"/>
      <c r="N154" s="157"/>
      <c r="O154" s="87">
        <v>2.41</v>
      </c>
      <c r="P154" s="151" t="s">
        <v>162</v>
      </c>
      <c r="Q154" s="143" t="s">
        <v>154</v>
      </c>
      <c r="R154" s="74" t="s">
        <v>155</v>
      </c>
      <c r="S154" s="158"/>
      <c r="T154" s="146">
        <f t="shared" si="11"/>
        <v>126</v>
      </c>
      <c r="U154" s="146">
        <f t="shared" si="23"/>
        <v>210</v>
      </c>
      <c r="V154" s="147" t="s">
        <v>38</v>
      </c>
      <c r="W154" s="74" t="b">
        <v>0</v>
      </c>
      <c r="X154" s="74" t="b">
        <v>0</v>
      </c>
      <c r="Y154" s="74" t="b">
        <v>1</v>
      </c>
      <c r="Z154" s="148" t="str">
        <f>IFERROR(__xludf.DUMMYFUNCTION("""COMPUTED_VALUE"""),"#REF!")</f>
        <v>#REF!</v>
      </c>
      <c r="AA154" s="148" t="str">
        <f>IFERROR(__xludf.DUMMYFUNCTION("""COMPUTED_VALUE"""),"#REF!")</f>
        <v>#REF!</v>
      </c>
      <c r="AB154" s="148" t="str">
        <f>IFERROR(__xludf.DUMMYFUNCTION("""COMPUTED_VALUE"""),"#REF!")</f>
        <v>#REF!</v>
      </c>
      <c r="AC154" s="148"/>
      <c r="AD154" s="153">
        <v>46132.0</v>
      </c>
      <c r="AE154" s="148"/>
      <c r="AF154" s="47">
        <v>109728.0</v>
      </c>
      <c r="AG154" s="148" t="s">
        <v>1094</v>
      </c>
      <c r="AH154" s="148"/>
      <c r="AI154" s="148" t="s">
        <v>1092</v>
      </c>
      <c r="AJ154" s="148" t="e">
        <v>#REF!</v>
      </c>
      <c r="AK154" s="148" t="e">
        <v>#REF!</v>
      </c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</row>
    <row r="155" ht="14.25" customHeight="1">
      <c r="A155" s="248" t="s">
        <v>13</v>
      </c>
      <c r="B155" s="135" t="s">
        <v>1095</v>
      </c>
      <c r="C155" s="77">
        <v>46133.0</v>
      </c>
      <c r="D155" s="161">
        <v>109729.0</v>
      </c>
      <c r="E155" s="60">
        <v>26.10649</v>
      </c>
      <c r="F155" s="60">
        <v>26.36243</v>
      </c>
      <c r="G155" s="62" t="s">
        <v>1096</v>
      </c>
      <c r="H155" s="63" t="s">
        <v>34</v>
      </c>
      <c r="I155" s="155">
        <v>1.0</v>
      </c>
      <c r="J155" s="85">
        <v>4.6</v>
      </c>
      <c r="K155" s="80" t="s">
        <v>177</v>
      </c>
      <c r="L155" s="66" t="s">
        <v>1097</v>
      </c>
      <c r="M155" s="156"/>
      <c r="N155" s="157"/>
      <c r="O155" s="87">
        <v>4.6</v>
      </c>
      <c r="P155" s="151" t="s">
        <v>153</v>
      </c>
      <c r="Q155" s="143" t="s">
        <v>154</v>
      </c>
      <c r="R155" s="74" t="s">
        <v>1038</v>
      </c>
      <c r="S155" s="158"/>
      <c r="T155" s="146">
        <f t="shared" si="11"/>
        <v>246</v>
      </c>
      <c r="U155" s="146">
        <f t="shared" si="23"/>
        <v>410</v>
      </c>
      <c r="V155" s="147" t="s">
        <v>38</v>
      </c>
      <c r="W155" s="74" t="b">
        <v>0</v>
      </c>
      <c r="X155" s="74" t="b">
        <v>0</v>
      </c>
      <c r="Y155" s="74" t="b">
        <v>1</v>
      </c>
      <c r="Z155" s="148" t="str">
        <f>IFERROR(__xludf.DUMMYFUNCTION("""COMPUTED_VALUE"""),"#REF!")</f>
        <v>#REF!</v>
      </c>
      <c r="AA155" s="148" t="str">
        <f>IFERROR(__xludf.DUMMYFUNCTION("""COMPUTED_VALUE"""),"#REF!")</f>
        <v>#REF!</v>
      </c>
      <c r="AB155" s="148" t="str">
        <f>IFERROR(__xludf.DUMMYFUNCTION("""COMPUTED_VALUE"""),"#REF!")</f>
        <v>#REF!</v>
      </c>
      <c r="AC155" s="148"/>
      <c r="AD155" s="153">
        <v>46133.0</v>
      </c>
      <c r="AE155" s="148"/>
      <c r="AF155" s="47">
        <v>109729.0</v>
      </c>
      <c r="AG155" s="148" t="s">
        <v>1098</v>
      </c>
      <c r="AH155" s="148"/>
      <c r="AI155" s="148" t="s">
        <v>1096</v>
      </c>
      <c r="AJ155" s="148" t="e">
        <v>#REF!</v>
      </c>
      <c r="AK155" s="148" t="e">
        <v>#REF!</v>
      </c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</row>
    <row r="156" ht="14.25" customHeight="1">
      <c r="A156" s="248" t="s">
        <v>13</v>
      </c>
      <c r="B156" s="249" t="s">
        <v>1099</v>
      </c>
      <c r="C156" s="77">
        <v>46134.0</v>
      </c>
      <c r="D156" s="161">
        <v>109730.0</v>
      </c>
      <c r="E156" s="60">
        <v>26.10443</v>
      </c>
      <c r="F156" s="60">
        <v>26.35611</v>
      </c>
      <c r="G156" s="62" t="s">
        <v>1100</v>
      </c>
      <c r="H156" s="63" t="s">
        <v>34</v>
      </c>
      <c r="I156" s="155">
        <v>1.0</v>
      </c>
      <c r="J156" s="85">
        <v>3.69</v>
      </c>
      <c r="K156" s="80" t="s">
        <v>57</v>
      </c>
      <c r="L156" s="66" t="s">
        <v>1101</v>
      </c>
      <c r="M156" s="156"/>
      <c r="N156" s="157"/>
      <c r="O156" s="250">
        <v>3.69</v>
      </c>
      <c r="P156" s="142" t="s">
        <v>238</v>
      </c>
      <c r="Q156" s="143" t="s">
        <v>154</v>
      </c>
      <c r="R156" s="74" t="s">
        <v>155</v>
      </c>
      <c r="S156" s="158"/>
      <c r="T156" s="251">
        <f t="shared" si="11"/>
        <v>198</v>
      </c>
      <c r="U156" s="251">
        <f t="shared" si="23"/>
        <v>330</v>
      </c>
      <c r="V156" s="147" t="s">
        <v>38</v>
      </c>
      <c r="W156" s="74" t="b">
        <v>0</v>
      </c>
      <c r="X156" s="74" t="b">
        <v>0</v>
      </c>
      <c r="Y156" s="74" t="b">
        <v>1</v>
      </c>
      <c r="Z156" s="148" t="str">
        <f>IFERROR(__xludf.DUMMYFUNCTION("""COMPUTED_VALUE"""),"#REF!")</f>
        <v>#REF!</v>
      </c>
      <c r="AA156" s="148" t="str">
        <f>IFERROR(__xludf.DUMMYFUNCTION("""COMPUTED_VALUE"""),"#REF!")</f>
        <v>#REF!</v>
      </c>
      <c r="AB156" s="148" t="str">
        <f>IFERROR(__xludf.DUMMYFUNCTION("""COMPUTED_VALUE"""),"#REF!")</f>
        <v>#REF!</v>
      </c>
      <c r="AC156" s="148"/>
      <c r="AD156" s="153">
        <v>46134.0</v>
      </c>
      <c r="AE156" s="148"/>
      <c r="AF156" s="47">
        <v>109730.0</v>
      </c>
      <c r="AG156" s="148" t="s">
        <v>1102</v>
      </c>
      <c r="AH156" s="148"/>
      <c r="AI156" s="148" t="s">
        <v>1100</v>
      </c>
      <c r="AJ156" s="148" t="e">
        <v>#REF!</v>
      </c>
      <c r="AK156" s="148" t="e">
        <v>#REF!</v>
      </c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</row>
    <row r="157" ht="14.25" customHeight="1">
      <c r="A157" s="248" t="s">
        <v>13</v>
      </c>
      <c r="B157" s="135" t="s">
        <v>1099</v>
      </c>
      <c r="C157" s="77">
        <v>46134.0</v>
      </c>
      <c r="D157" s="161">
        <v>109731.0</v>
      </c>
      <c r="E157" s="60">
        <v>26.10512</v>
      </c>
      <c r="F157" s="60">
        <v>26.35832</v>
      </c>
      <c r="G157" s="62" t="s">
        <v>1103</v>
      </c>
      <c r="H157" s="63" t="s">
        <v>34</v>
      </c>
      <c r="I157" s="155">
        <v>1.0</v>
      </c>
      <c r="J157" s="85">
        <v>5.83</v>
      </c>
      <c r="K157" s="80" t="s">
        <v>314</v>
      </c>
      <c r="L157" s="66" t="s">
        <v>1104</v>
      </c>
      <c r="M157" s="156"/>
      <c r="N157" s="157"/>
      <c r="O157" s="87">
        <v>5.83</v>
      </c>
      <c r="P157" s="151" t="s">
        <v>153</v>
      </c>
      <c r="Q157" s="143" t="s">
        <v>154</v>
      </c>
      <c r="R157" s="74" t="s">
        <v>1038</v>
      </c>
      <c r="S157" s="158"/>
      <c r="T157" s="146">
        <f t="shared" si="11"/>
        <v>312</v>
      </c>
      <c r="U157" s="146">
        <f t="shared" si="23"/>
        <v>520</v>
      </c>
      <c r="V157" s="147" t="s">
        <v>38</v>
      </c>
      <c r="W157" s="74" t="b">
        <v>0</v>
      </c>
      <c r="X157" s="74" t="b">
        <v>0</v>
      </c>
      <c r="Y157" s="74" t="b">
        <v>1</v>
      </c>
      <c r="Z157" s="148" t="str">
        <f>IFERROR(__xludf.DUMMYFUNCTION("""COMPUTED_VALUE"""),"#REF!")</f>
        <v>#REF!</v>
      </c>
      <c r="AA157" s="148" t="str">
        <f>IFERROR(__xludf.DUMMYFUNCTION("""COMPUTED_VALUE"""),"#REF!")</f>
        <v>#REF!</v>
      </c>
      <c r="AB157" s="148" t="str">
        <f>IFERROR(__xludf.DUMMYFUNCTION("""COMPUTED_VALUE"""),"#REF!")</f>
        <v>#REF!</v>
      </c>
      <c r="AC157" s="148"/>
      <c r="AD157" s="153">
        <v>46134.0</v>
      </c>
      <c r="AE157" s="148"/>
      <c r="AF157" s="47">
        <v>109731.0</v>
      </c>
      <c r="AG157" s="148" t="s">
        <v>1105</v>
      </c>
      <c r="AH157" s="148"/>
      <c r="AI157" s="148" t="s">
        <v>1103</v>
      </c>
      <c r="AJ157" s="148" t="e">
        <v>#REF!</v>
      </c>
      <c r="AK157" s="148" t="e">
        <v>#REF!</v>
      </c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</row>
    <row r="158" ht="14.25" customHeight="1">
      <c r="A158" s="248" t="s">
        <v>13</v>
      </c>
      <c r="B158" s="135" t="s">
        <v>1099</v>
      </c>
      <c r="C158" s="77">
        <v>46134.0</v>
      </c>
      <c r="D158" s="161">
        <v>109732.0</v>
      </c>
      <c r="E158" s="60">
        <v>26.10512</v>
      </c>
      <c r="F158" s="60">
        <v>26.35711</v>
      </c>
      <c r="G158" s="62" t="s">
        <v>1106</v>
      </c>
      <c r="H158" s="63" t="s">
        <v>34</v>
      </c>
      <c r="I158" s="155">
        <v>1.0</v>
      </c>
      <c r="J158" s="85">
        <v>82.65</v>
      </c>
      <c r="K158" s="80" t="s">
        <v>77</v>
      </c>
      <c r="L158" s="66" t="s">
        <v>1107</v>
      </c>
      <c r="M158" s="156"/>
      <c r="N158" s="157"/>
      <c r="O158" s="87">
        <v>82.65</v>
      </c>
      <c r="P158" s="151" t="s">
        <v>153</v>
      </c>
      <c r="Q158" s="143" t="s">
        <v>154</v>
      </c>
      <c r="R158" s="74" t="s">
        <v>1038</v>
      </c>
      <c r="S158" s="158"/>
      <c r="T158" s="146">
        <f t="shared" si="11"/>
        <v>4416</v>
      </c>
      <c r="U158" s="146">
        <f t="shared" si="23"/>
        <v>7360</v>
      </c>
      <c r="V158" s="147" t="s">
        <v>38</v>
      </c>
      <c r="W158" s="74" t="b">
        <v>0</v>
      </c>
      <c r="X158" s="74" t="b">
        <v>0</v>
      </c>
      <c r="Y158" s="74" t="b">
        <v>1</v>
      </c>
      <c r="Z158" s="148" t="str">
        <f>IFERROR(__xludf.DUMMYFUNCTION("""COMPUTED_VALUE"""),"#REF!")</f>
        <v>#REF!</v>
      </c>
      <c r="AA158" s="148" t="str">
        <f>IFERROR(__xludf.DUMMYFUNCTION("""COMPUTED_VALUE"""),"#REF!")</f>
        <v>#REF!</v>
      </c>
      <c r="AB158" s="148" t="str">
        <f>IFERROR(__xludf.DUMMYFUNCTION("""COMPUTED_VALUE"""),"#REF!")</f>
        <v>#REF!</v>
      </c>
      <c r="AC158" s="148"/>
      <c r="AD158" s="153">
        <v>46134.0</v>
      </c>
      <c r="AE158" s="148"/>
      <c r="AF158" s="47">
        <v>109732.0</v>
      </c>
      <c r="AG158" s="148" t="s">
        <v>1108</v>
      </c>
      <c r="AH158" s="148"/>
      <c r="AI158" s="148" t="s">
        <v>1106</v>
      </c>
      <c r="AJ158" s="148" t="e">
        <v>#REF!</v>
      </c>
      <c r="AK158" s="148" t="e">
        <v>#REF!</v>
      </c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</row>
    <row r="159" ht="14.25" customHeight="1">
      <c r="A159" s="248" t="s">
        <v>13</v>
      </c>
      <c r="B159" s="135" t="s">
        <v>1099</v>
      </c>
      <c r="C159" s="77">
        <v>46134.0</v>
      </c>
      <c r="D159" s="161">
        <v>109733.0</v>
      </c>
      <c r="E159" s="60">
        <v>25.9491</v>
      </c>
      <c r="F159" s="60">
        <v>25.32829</v>
      </c>
      <c r="G159" s="62" t="s">
        <v>1109</v>
      </c>
      <c r="H159" s="63" t="s">
        <v>34</v>
      </c>
      <c r="I159" s="155">
        <v>1.0</v>
      </c>
      <c r="J159" s="85">
        <v>2.25</v>
      </c>
      <c r="K159" s="80" t="s">
        <v>177</v>
      </c>
      <c r="L159" s="66" t="s">
        <v>1110</v>
      </c>
      <c r="M159" s="156"/>
      <c r="N159" s="157"/>
      <c r="O159" s="87">
        <v>2.25</v>
      </c>
      <c r="P159" s="151" t="s">
        <v>162</v>
      </c>
      <c r="Q159" s="143" t="s">
        <v>154</v>
      </c>
      <c r="R159" s="74" t="s">
        <v>155</v>
      </c>
      <c r="S159" s="158"/>
      <c r="T159" s="146">
        <f t="shared" si="11"/>
        <v>120</v>
      </c>
      <c r="U159" s="146">
        <f t="shared" si="23"/>
        <v>200</v>
      </c>
      <c r="V159" s="147" t="s">
        <v>38</v>
      </c>
      <c r="W159" s="74" t="b">
        <v>0</v>
      </c>
      <c r="X159" s="74" t="b">
        <v>0</v>
      </c>
      <c r="Y159" s="74" t="b">
        <v>1</v>
      </c>
      <c r="Z159" s="148" t="str">
        <f>IFERROR(__xludf.DUMMYFUNCTION("""COMPUTED_VALUE"""),"#REF!")</f>
        <v>#REF!</v>
      </c>
      <c r="AA159" s="148" t="str">
        <f>IFERROR(__xludf.DUMMYFUNCTION("""COMPUTED_VALUE"""),"#REF!")</f>
        <v>#REF!</v>
      </c>
      <c r="AB159" s="148" t="str">
        <f>IFERROR(__xludf.DUMMYFUNCTION("""COMPUTED_VALUE"""),"#REF!")</f>
        <v>#REF!</v>
      </c>
      <c r="AC159" s="148"/>
      <c r="AD159" s="153">
        <v>46134.0</v>
      </c>
      <c r="AE159" s="148"/>
      <c r="AF159" s="47">
        <v>109733.0</v>
      </c>
      <c r="AG159" s="148" t="s">
        <v>1111</v>
      </c>
      <c r="AH159" s="148"/>
      <c r="AI159" s="148" t="s">
        <v>1109</v>
      </c>
      <c r="AJ159" s="148" t="e">
        <v>#REF!</v>
      </c>
      <c r="AK159" s="148" t="e">
        <v>#REF!</v>
      </c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</row>
    <row r="160" ht="14.25" customHeight="1">
      <c r="A160" s="248" t="s">
        <v>13</v>
      </c>
      <c r="B160" s="135" t="s">
        <v>1099</v>
      </c>
      <c r="C160" s="77">
        <v>46134.0</v>
      </c>
      <c r="D160" s="161">
        <v>109734.0</v>
      </c>
      <c r="E160" s="60">
        <v>25.9491</v>
      </c>
      <c r="F160" s="60">
        <v>25.33627</v>
      </c>
      <c r="G160" s="62" t="s">
        <v>1112</v>
      </c>
      <c r="H160" s="63" t="s">
        <v>34</v>
      </c>
      <c r="I160" s="155">
        <v>1.0</v>
      </c>
      <c r="J160" s="85">
        <v>2.22</v>
      </c>
      <c r="K160" s="80" t="s">
        <v>177</v>
      </c>
      <c r="L160" s="66" t="s">
        <v>1113</v>
      </c>
      <c r="M160" s="156"/>
      <c r="N160" s="157"/>
      <c r="O160" s="87">
        <v>2.22</v>
      </c>
      <c r="P160" s="151" t="s">
        <v>162</v>
      </c>
      <c r="Q160" s="143" t="s">
        <v>154</v>
      </c>
      <c r="R160" s="74" t="s">
        <v>155</v>
      </c>
      <c r="S160" s="158"/>
      <c r="T160" s="146">
        <f t="shared" si="11"/>
        <v>120</v>
      </c>
      <c r="U160" s="146">
        <f t="shared" si="23"/>
        <v>200</v>
      </c>
      <c r="V160" s="147" t="s">
        <v>38</v>
      </c>
      <c r="W160" s="74" t="b">
        <v>0</v>
      </c>
      <c r="X160" s="74" t="b">
        <v>0</v>
      </c>
      <c r="Y160" s="74" t="b">
        <v>1</v>
      </c>
      <c r="Z160" s="148" t="str">
        <f>IFERROR(__xludf.DUMMYFUNCTION("""COMPUTED_VALUE"""),"#REF!")</f>
        <v>#REF!</v>
      </c>
      <c r="AA160" s="148" t="str">
        <f>IFERROR(__xludf.DUMMYFUNCTION("""COMPUTED_VALUE"""),"#REF!")</f>
        <v>#REF!</v>
      </c>
      <c r="AB160" s="148" t="str">
        <f>IFERROR(__xludf.DUMMYFUNCTION("""COMPUTED_VALUE"""),"#REF!")</f>
        <v>#REF!</v>
      </c>
      <c r="AC160" s="148"/>
      <c r="AD160" s="153">
        <v>46134.0</v>
      </c>
      <c r="AE160" s="148"/>
      <c r="AF160" s="47">
        <v>109734.0</v>
      </c>
      <c r="AG160" s="148" t="s">
        <v>1114</v>
      </c>
      <c r="AH160" s="148"/>
      <c r="AI160" s="148" t="s">
        <v>1112</v>
      </c>
      <c r="AJ160" s="148" t="e">
        <v>#REF!</v>
      </c>
      <c r="AK160" s="148" t="e">
        <v>#REF!</v>
      </c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</row>
    <row r="161" ht="14.25" customHeight="1">
      <c r="A161" s="248" t="s">
        <v>13</v>
      </c>
      <c r="B161" s="135" t="s">
        <v>1099</v>
      </c>
      <c r="C161" s="77">
        <v>46134.0</v>
      </c>
      <c r="D161" s="161">
        <v>109735.0</v>
      </c>
      <c r="E161" s="60">
        <v>25.936</v>
      </c>
      <c r="F161" s="60">
        <v>25.325</v>
      </c>
      <c r="G161" s="62" t="s">
        <v>1115</v>
      </c>
      <c r="H161" s="63" t="s">
        <v>34</v>
      </c>
      <c r="I161" s="155">
        <v>1.0</v>
      </c>
      <c r="J161" s="85">
        <v>19.55</v>
      </c>
      <c r="K161" s="80" t="s">
        <v>900</v>
      </c>
      <c r="L161" s="66" t="s">
        <v>1116</v>
      </c>
      <c r="M161" s="156">
        <v>114.0</v>
      </c>
      <c r="N161" s="157">
        <v>2.3449999999999998</v>
      </c>
      <c r="O161" s="87">
        <v>19.081</v>
      </c>
      <c r="P161" s="151" t="s">
        <v>162</v>
      </c>
      <c r="Q161" s="143" t="s">
        <v>154</v>
      </c>
      <c r="R161" s="74" t="s">
        <v>155</v>
      </c>
      <c r="S161" s="158"/>
      <c r="T161" s="146">
        <f t="shared" si="11"/>
        <v>1794</v>
      </c>
      <c r="U161" s="146">
        <f t="shared" si="23"/>
        <v>2990</v>
      </c>
      <c r="V161" s="147" t="s">
        <v>38</v>
      </c>
      <c r="W161" s="74" t="b">
        <v>1</v>
      </c>
      <c r="X161" s="74" t="b">
        <v>1</v>
      </c>
      <c r="Y161" s="74" t="b">
        <v>1</v>
      </c>
      <c r="Z161" s="148" t="str">
        <f>IFERROR(__xludf.DUMMYFUNCTION("""COMPUTED_VALUE"""),"#REF!")</f>
        <v>#REF!</v>
      </c>
      <c r="AA161" s="148" t="str">
        <f>IFERROR(__xludf.DUMMYFUNCTION("""COMPUTED_VALUE"""),"#REF!")</f>
        <v>#REF!</v>
      </c>
      <c r="AB161" s="148" t="str">
        <f>IFERROR(__xludf.DUMMYFUNCTION("""COMPUTED_VALUE"""),"#REF!")</f>
        <v>#REF!</v>
      </c>
      <c r="AC161" s="148"/>
      <c r="AD161" s="153">
        <v>46134.0</v>
      </c>
      <c r="AE161" s="148"/>
      <c r="AF161" s="47">
        <v>109735.0</v>
      </c>
      <c r="AG161" s="148" t="s">
        <v>1117</v>
      </c>
      <c r="AH161" s="148"/>
      <c r="AI161" s="148" t="s">
        <v>1115</v>
      </c>
      <c r="AJ161" s="148" t="e">
        <v>#REF!</v>
      </c>
      <c r="AK161" s="148" t="e">
        <v>#REF!</v>
      </c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</row>
    <row r="162" ht="14.25" customHeight="1">
      <c r="A162" s="152" t="s">
        <v>13</v>
      </c>
      <c r="B162" s="135" t="s">
        <v>1118</v>
      </c>
      <c r="C162" s="77">
        <v>46135.0</v>
      </c>
      <c r="D162" s="161">
        <v>109736.0</v>
      </c>
      <c r="E162" s="60">
        <v>26.10476</v>
      </c>
      <c r="F162" s="60">
        <v>26.35645</v>
      </c>
      <c r="G162" s="62" t="s">
        <v>1119</v>
      </c>
      <c r="H162" s="154" t="s">
        <v>106</v>
      </c>
      <c r="I162" s="155">
        <v>1.0</v>
      </c>
      <c r="J162" s="85">
        <v>1.08</v>
      </c>
      <c r="K162" s="80" t="s">
        <v>57</v>
      </c>
      <c r="L162" s="66" t="s">
        <v>1120</v>
      </c>
      <c r="M162" s="156"/>
      <c r="N162" s="157"/>
      <c r="O162" s="87">
        <v>1.08</v>
      </c>
      <c r="P162" s="151" t="s">
        <v>153</v>
      </c>
      <c r="Q162" s="143" t="s">
        <v>154</v>
      </c>
      <c r="R162" s="74" t="s">
        <v>1038</v>
      </c>
      <c r="S162" s="158"/>
      <c r="T162" s="146">
        <f t="shared" si="11"/>
        <v>42</v>
      </c>
      <c r="U162" s="146">
        <f>round((O162*69)+(550*N162),-1)</f>
        <v>70</v>
      </c>
      <c r="V162" s="147" t="s">
        <v>38</v>
      </c>
      <c r="W162" s="74" t="b">
        <v>0</v>
      </c>
      <c r="X162" s="74" t="b">
        <v>0</v>
      </c>
      <c r="Y162" s="74" t="b">
        <v>1</v>
      </c>
      <c r="Z162" s="148" t="str">
        <f>IFERROR(__xludf.DUMMYFUNCTION("""COMPUTED_VALUE"""),"#REF!")</f>
        <v>#REF!</v>
      </c>
      <c r="AA162" s="148" t="str">
        <f>IFERROR(__xludf.DUMMYFUNCTION("""COMPUTED_VALUE"""),"#REF!")</f>
        <v>#REF!</v>
      </c>
      <c r="AB162" s="148" t="str">
        <f>IFERROR(__xludf.DUMMYFUNCTION("""COMPUTED_VALUE"""),"#REF!")</f>
        <v>#REF!</v>
      </c>
      <c r="AC162" s="148"/>
      <c r="AD162" s="153">
        <v>46135.0</v>
      </c>
      <c r="AE162" s="148"/>
      <c r="AF162" s="47">
        <v>109736.0</v>
      </c>
      <c r="AG162" s="148" t="s">
        <v>1121</v>
      </c>
      <c r="AH162" s="148"/>
      <c r="AI162" s="148" t="s">
        <v>1119</v>
      </c>
      <c r="AJ162" s="148" t="e">
        <v>#REF!</v>
      </c>
      <c r="AK162" s="148" t="e">
        <v>#REF!</v>
      </c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</row>
    <row r="163" ht="14.25" customHeight="1">
      <c r="A163" s="152" t="s">
        <v>13</v>
      </c>
      <c r="B163" s="135" t="s">
        <v>1118</v>
      </c>
      <c r="C163" s="77">
        <v>46135.0</v>
      </c>
      <c r="D163" s="161">
        <v>109737.0</v>
      </c>
      <c r="E163" s="60">
        <v>26.10603</v>
      </c>
      <c r="F163" s="60">
        <v>26.36075</v>
      </c>
      <c r="G163" s="62" t="s">
        <v>1122</v>
      </c>
      <c r="H163" s="154" t="s">
        <v>106</v>
      </c>
      <c r="I163" s="155">
        <v>1.0</v>
      </c>
      <c r="J163" s="85">
        <v>3.57</v>
      </c>
      <c r="K163" s="80" t="s">
        <v>188</v>
      </c>
      <c r="L163" s="66" t="s">
        <v>1123</v>
      </c>
      <c r="M163" s="156">
        <v>44.0</v>
      </c>
      <c r="N163" s="157">
        <v>0.166</v>
      </c>
      <c r="O163" s="87">
        <v>3.5368</v>
      </c>
      <c r="P163" s="151" t="s">
        <v>153</v>
      </c>
      <c r="Q163" s="143" t="s">
        <v>154</v>
      </c>
      <c r="R163" s="74" t="s">
        <v>1038</v>
      </c>
      <c r="S163" s="158"/>
      <c r="T163" s="146">
        <f t="shared" si="11"/>
        <v>150</v>
      </c>
      <c r="U163" s="146">
        <f t="shared" ref="U163:U164" si="24">round((O163*69)+(10*N163),-1)</f>
        <v>250</v>
      </c>
      <c r="V163" s="147" t="s">
        <v>38</v>
      </c>
      <c r="W163" s="74" t="b">
        <v>1</v>
      </c>
      <c r="X163" s="74" t="b">
        <v>0</v>
      </c>
      <c r="Y163" s="74" t="b">
        <v>1</v>
      </c>
      <c r="Z163" s="148" t="str">
        <f>IFERROR(__xludf.DUMMYFUNCTION("""COMPUTED_VALUE"""),"#REF!")</f>
        <v>#REF!</v>
      </c>
      <c r="AA163" s="148" t="str">
        <f>IFERROR(__xludf.DUMMYFUNCTION("""COMPUTED_VALUE"""),"#REF!")</f>
        <v>#REF!</v>
      </c>
      <c r="AB163" s="148" t="str">
        <f>IFERROR(__xludf.DUMMYFUNCTION("""COMPUTED_VALUE"""),"#REF!")</f>
        <v>#REF!</v>
      </c>
      <c r="AC163" s="148"/>
      <c r="AD163" s="153">
        <v>46135.0</v>
      </c>
      <c r="AE163" s="148"/>
      <c r="AF163" s="47">
        <v>109737.0</v>
      </c>
      <c r="AG163" s="148" t="s">
        <v>1124</v>
      </c>
      <c r="AH163" s="148"/>
      <c r="AI163" s="148" t="s">
        <v>1122</v>
      </c>
      <c r="AJ163" s="148" t="e">
        <v>#REF!</v>
      </c>
      <c r="AK163" s="148" t="e">
        <v>#REF!</v>
      </c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</row>
    <row r="164" ht="14.25" customHeight="1">
      <c r="A164" s="152" t="s">
        <v>13</v>
      </c>
      <c r="B164" s="135" t="s">
        <v>1118</v>
      </c>
      <c r="C164" s="77">
        <v>46135.0</v>
      </c>
      <c r="D164" s="161">
        <v>109738.0</v>
      </c>
      <c r="E164" s="60">
        <v>26.10385</v>
      </c>
      <c r="F164" s="60">
        <v>26.35412</v>
      </c>
      <c r="G164" s="62" t="s">
        <v>1125</v>
      </c>
      <c r="H164" s="154" t="s">
        <v>106</v>
      </c>
      <c r="I164" s="155">
        <v>1.0</v>
      </c>
      <c r="J164" s="85">
        <v>1.75</v>
      </c>
      <c r="K164" s="80" t="s">
        <v>188</v>
      </c>
      <c r="L164" s="66" t="s">
        <v>1126</v>
      </c>
      <c r="M164" s="156">
        <v>16.0</v>
      </c>
      <c r="N164" s="157">
        <v>0.082</v>
      </c>
      <c r="O164" s="87">
        <v>1.7336</v>
      </c>
      <c r="P164" s="151" t="s">
        <v>153</v>
      </c>
      <c r="Q164" s="143" t="s">
        <v>154</v>
      </c>
      <c r="R164" s="74" t="s">
        <v>1038</v>
      </c>
      <c r="S164" s="158"/>
      <c r="T164" s="146">
        <f t="shared" si="11"/>
        <v>72</v>
      </c>
      <c r="U164" s="146">
        <f t="shared" si="24"/>
        <v>120</v>
      </c>
      <c r="V164" s="147" t="s">
        <v>38</v>
      </c>
      <c r="W164" s="74" t="b">
        <v>1</v>
      </c>
      <c r="X164" s="74" t="b">
        <v>0</v>
      </c>
      <c r="Y164" s="74" t="b">
        <v>1</v>
      </c>
      <c r="Z164" s="148" t="str">
        <f>IFERROR(__xludf.DUMMYFUNCTION("""COMPUTED_VALUE"""),"#REF!")</f>
        <v>#REF!</v>
      </c>
      <c r="AA164" s="148" t="str">
        <f>IFERROR(__xludf.DUMMYFUNCTION("""COMPUTED_VALUE"""),"#REF!")</f>
        <v>#REF!</v>
      </c>
      <c r="AB164" s="148" t="str">
        <f>IFERROR(__xludf.DUMMYFUNCTION("""COMPUTED_VALUE"""),"#REF!")</f>
        <v>#REF!</v>
      </c>
      <c r="AC164" s="148"/>
      <c r="AD164" s="153">
        <v>46135.0</v>
      </c>
      <c r="AE164" s="148"/>
      <c r="AF164" s="47">
        <v>109738.0</v>
      </c>
      <c r="AG164" s="148" t="s">
        <v>1127</v>
      </c>
      <c r="AH164" s="148"/>
      <c r="AI164" s="148" t="s">
        <v>1125</v>
      </c>
      <c r="AJ164" s="148" t="e">
        <v>#REF!</v>
      </c>
      <c r="AK164" s="148" t="e">
        <v>#REF!</v>
      </c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</row>
    <row r="165" ht="14.25" customHeight="1">
      <c r="A165" s="152" t="s">
        <v>13</v>
      </c>
      <c r="B165" s="135" t="s">
        <v>1118</v>
      </c>
      <c r="C165" s="77">
        <v>46135.0</v>
      </c>
      <c r="D165" s="161">
        <v>109739.0</v>
      </c>
      <c r="E165" s="60">
        <v>26.10606</v>
      </c>
      <c r="F165" s="60">
        <v>26.36185</v>
      </c>
      <c r="G165" s="62" t="s">
        <v>1128</v>
      </c>
      <c r="H165" s="63" t="s">
        <v>45</v>
      </c>
      <c r="I165" s="155">
        <v>1.0</v>
      </c>
      <c r="J165" s="85">
        <v>2.63</v>
      </c>
      <c r="K165" s="80" t="s">
        <v>57</v>
      </c>
      <c r="L165" s="66" t="s">
        <v>1129</v>
      </c>
      <c r="M165" s="156">
        <v>1.0</v>
      </c>
      <c r="N165" s="157">
        <v>0.907</v>
      </c>
      <c r="O165" s="87">
        <v>2.4486</v>
      </c>
      <c r="P165" s="151" t="s">
        <v>153</v>
      </c>
      <c r="Q165" s="143" t="s">
        <v>154</v>
      </c>
      <c r="R165" s="74" t="s">
        <v>1038</v>
      </c>
      <c r="S165" s="158"/>
      <c r="T165" s="146">
        <f t="shared" si="11"/>
        <v>132</v>
      </c>
      <c r="U165" s="146">
        <f>round((O165*89)+(0.5*N165),-1)</f>
        <v>220</v>
      </c>
      <c r="V165" s="147" t="s">
        <v>38</v>
      </c>
      <c r="W165" s="74" t="b">
        <v>1</v>
      </c>
      <c r="X165" s="74" t="b">
        <v>0</v>
      </c>
      <c r="Y165" s="74" t="b">
        <v>1</v>
      </c>
      <c r="Z165" s="148" t="str">
        <f>IFERROR(__xludf.DUMMYFUNCTION("""COMPUTED_VALUE"""),"#REF!")</f>
        <v>#REF!</v>
      </c>
      <c r="AA165" s="148" t="str">
        <f>IFERROR(__xludf.DUMMYFUNCTION("""COMPUTED_VALUE"""),"#REF!")</f>
        <v>#REF!</v>
      </c>
      <c r="AB165" s="148" t="str">
        <f>IFERROR(__xludf.DUMMYFUNCTION("""COMPUTED_VALUE"""),"#REF!")</f>
        <v>#REF!</v>
      </c>
      <c r="AC165" s="148"/>
      <c r="AD165" s="153">
        <v>46135.0</v>
      </c>
      <c r="AE165" s="148"/>
      <c r="AF165" s="47">
        <v>109739.0</v>
      </c>
      <c r="AG165" s="148" t="s">
        <v>1130</v>
      </c>
      <c r="AH165" s="148"/>
      <c r="AI165" s="148" t="s">
        <v>1128</v>
      </c>
      <c r="AJ165" s="148" t="e">
        <v>#REF!</v>
      </c>
      <c r="AK165" s="148" t="e">
        <v>#REF!</v>
      </c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</row>
    <row r="166" ht="14.25" customHeight="1">
      <c r="A166" s="152" t="s">
        <v>13</v>
      </c>
      <c r="B166" s="135" t="s">
        <v>1118</v>
      </c>
      <c r="C166" s="77">
        <v>46135.0</v>
      </c>
      <c r="D166" s="161">
        <v>109740.0</v>
      </c>
      <c r="E166" s="60">
        <v>26.10599</v>
      </c>
      <c r="F166" s="60">
        <v>26.3607</v>
      </c>
      <c r="G166" s="62" t="s">
        <v>1131</v>
      </c>
      <c r="H166" s="63" t="s">
        <v>45</v>
      </c>
      <c r="I166" s="155">
        <v>1.0</v>
      </c>
      <c r="J166" s="85">
        <v>4.43</v>
      </c>
      <c r="K166" s="80" t="s">
        <v>46</v>
      </c>
      <c r="L166" s="66" t="s">
        <v>1132</v>
      </c>
      <c r="M166" s="156">
        <v>123.0</v>
      </c>
      <c r="N166" s="157">
        <v>5.279999999999999</v>
      </c>
      <c r="O166" s="87">
        <v>3.3739999999999997</v>
      </c>
      <c r="P166" s="151" t="s">
        <v>153</v>
      </c>
      <c r="Q166" s="143" t="s">
        <v>154</v>
      </c>
      <c r="R166" s="74" t="s">
        <v>1038</v>
      </c>
      <c r="S166" s="158"/>
      <c r="T166" s="146">
        <f t="shared" si="11"/>
        <v>1920</v>
      </c>
      <c r="U166" s="146">
        <f>round((O166*89)+(550*N166),-1)</f>
        <v>3200</v>
      </c>
      <c r="V166" s="147" t="s">
        <v>38</v>
      </c>
      <c r="W166" s="74" t="b">
        <v>1</v>
      </c>
      <c r="X166" s="74" t="b">
        <v>0</v>
      </c>
      <c r="Y166" s="74" t="b">
        <v>1</v>
      </c>
      <c r="Z166" s="148" t="str">
        <f>IFERROR(__xludf.DUMMYFUNCTION("""COMPUTED_VALUE"""),"#REF!")</f>
        <v>#REF!</v>
      </c>
      <c r="AA166" s="148" t="str">
        <f>IFERROR(__xludf.DUMMYFUNCTION("""COMPUTED_VALUE"""),"#REF!")</f>
        <v>#REF!</v>
      </c>
      <c r="AB166" s="148" t="str">
        <f>IFERROR(__xludf.DUMMYFUNCTION("""COMPUTED_VALUE"""),"#REF!")</f>
        <v>#REF!</v>
      </c>
      <c r="AC166" s="148"/>
      <c r="AD166" s="153">
        <v>46135.0</v>
      </c>
      <c r="AE166" s="148"/>
      <c r="AF166" s="47">
        <v>109740.0</v>
      </c>
      <c r="AG166" s="148" t="s">
        <v>1133</v>
      </c>
      <c r="AH166" s="148"/>
      <c r="AI166" s="148" t="s">
        <v>1131</v>
      </c>
      <c r="AJ166" s="148" t="e">
        <v>#REF!</v>
      </c>
      <c r="AK166" s="148" t="e">
        <v>#REF!</v>
      </c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</row>
    <row r="167" ht="14.25" customHeight="1">
      <c r="A167" s="152" t="s">
        <v>13</v>
      </c>
      <c r="B167" s="135" t="s">
        <v>1118</v>
      </c>
      <c r="C167" s="77">
        <v>46135.0</v>
      </c>
      <c r="D167" s="161">
        <v>109741.0</v>
      </c>
      <c r="E167" s="60">
        <v>26.10638</v>
      </c>
      <c r="F167" s="60">
        <v>26.36175</v>
      </c>
      <c r="G167" s="62" t="s">
        <v>1134</v>
      </c>
      <c r="H167" s="63" t="s">
        <v>45</v>
      </c>
      <c r="I167" s="155">
        <v>1.0</v>
      </c>
      <c r="J167" s="85">
        <v>4.29</v>
      </c>
      <c r="K167" s="80" t="s">
        <v>188</v>
      </c>
      <c r="L167" s="66" t="s">
        <v>1135</v>
      </c>
      <c r="M167" s="156">
        <v>31.0</v>
      </c>
      <c r="N167" s="157">
        <v>0.9690000000000001</v>
      </c>
      <c r="O167" s="87">
        <v>4.0962</v>
      </c>
      <c r="P167" s="151" t="s">
        <v>153</v>
      </c>
      <c r="Q167" s="143" t="s">
        <v>154</v>
      </c>
      <c r="R167" s="74" t="s">
        <v>1038</v>
      </c>
      <c r="S167" s="158"/>
      <c r="T167" s="146">
        <f t="shared" si="11"/>
        <v>222</v>
      </c>
      <c r="U167" s="146">
        <f t="shared" ref="U167:U168" si="25">round((O167*89)+(10*N167),-1)</f>
        <v>370</v>
      </c>
      <c r="V167" s="147" t="s">
        <v>38</v>
      </c>
      <c r="W167" s="74" t="b">
        <v>1</v>
      </c>
      <c r="X167" s="74" t="b">
        <v>0</v>
      </c>
      <c r="Y167" s="74" t="b">
        <v>1</v>
      </c>
      <c r="Z167" s="148" t="str">
        <f>IFERROR(__xludf.DUMMYFUNCTION("""COMPUTED_VALUE"""),"#REF!")</f>
        <v>#REF!</v>
      </c>
      <c r="AA167" s="148" t="str">
        <f>IFERROR(__xludf.DUMMYFUNCTION("""COMPUTED_VALUE"""),"#REF!")</f>
        <v>#REF!</v>
      </c>
      <c r="AB167" s="148" t="str">
        <f>IFERROR(__xludf.DUMMYFUNCTION("""COMPUTED_VALUE"""),"#REF!")</f>
        <v>#REF!</v>
      </c>
      <c r="AC167" s="148"/>
      <c r="AD167" s="153">
        <v>46135.0</v>
      </c>
      <c r="AE167" s="148"/>
      <c r="AF167" s="47">
        <v>109741.0</v>
      </c>
      <c r="AG167" s="148" t="s">
        <v>1136</v>
      </c>
      <c r="AH167" s="148"/>
      <c r="AI167" s="148" t="s">
        <v>1134</v>
      </c>
      <c r="AJ167" s="148" t="e">
        <v>#REF!</v>
      </c>
      <c r="AK167" s="148" t="e">
        <v>#REF!</v>
      </c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</row>
    <row r="168" ht="14.25" customHeight="1">
      <c r="A168" s="152" t="s">
        <v>13</v>
      </c>
      <c r="B168" s="135" t="s">
        <v>1118</v>
      </c>
      <c r="C168" s="77">
        <v>46135.0</v>
      </c>
      <c r="D168" s="161">
        <v>109742.0</v>
      </c>
      <c r="E168" s="60">
        <v>26.10638</v>
      </c>
      <c r="F168" s="60">
        <v>26.36176</v>
      </c>
      <c r="G168" s="62" t="s">
        <v>1137</v>
      </c>
      <c r="H168" s="63" t="s">
        <v>45</v>
      </c>
      <c r="I168" s="155">
        <v>1.0</v>
      </c>
      <c r="J168" s="85">
        <v>3.35</v>
      </c>
      <c r="K168" s="80" t="s">
        <v>188</v>
      </c>
      <c r="L168" s="66" t="s">
        <v>1138</v>
      </c>
      <c r="M168" s="156">
        <v>29.0</v>
      </c>
      <c r="N168" s="157">
        <v>0.854</v>
      </c>
      <c r="O168" s="87">
        <v>3.1792000000000002</v>
      </c>
      <c r="P168" s="151" t="s">
        <v>153</v>
      </c>
      <c r="Q168" s="143" t="s">
        <v>154</v>
      </c>
      <c r="R168" s="74" t="s">
        <v>1038</v>
      </c>
      <c r="S168" s="158"/>
      <c r="T168" s="146">
        <f t="shared" si="11"/>
        <v>174</v>
      </c>
      <c r="U168" s="146">
        <f t="shared" si="25"/>
        <v>290</v>
      </c>
      <c r="V168" s="147" t="s">
        <v>38</v>
      </c>
      <c r="W168" s="74" t="b">
        <v>1</v>
      </c>
      <c r="X168" s="74" t="b">
        <v>0</v>
      </c>
      <c r="Y168" s="74" t="b">
        <v>1</v>
      </c>
      <c r="Z168" s="148" t="str">
        <f>IFERROR(__xludf.DUMMYFUNCTION("""COMPUTED_VALUE"""),"#REF!")</f>
        <v>#REF!</v>
      </c>
      <c r="AA168" s="148" t="str">
        <f>IFERROR(__xludf.DUMMYFUNCTION("""COMPUTED_VALUE"""),"#REF!")</f>
        <v>#REF!</v>
      </c>
      <c r="AB168" s="148" t="str">
        <f>IFERROR(__xludf.DUMMYFUNCTION("""COMPUTED_VALUE"""),"#REF!")</f>
        <v>#REF!</v>
      </c>
      <c r="AC168" s="148"/>
      <c r="AD168" s="153">
        <v>46135.0</v>
      </c>
      <c r="AE168" s="148"/>
      <c r="AF168" s="47">
        <v>109742.0</v>
      </c>
      <c r="AG168" s="148" t="s">
        <v>1139</v>
      </c>
      <c r="AH168" s="148"/>
      <c r="AI168" s="148" t="s">
        <v>1137</v>
      </c>
      <c r="AJ168" s="148" t="e">
        <v>#REF!</v>
      </c>
      <c r="AK168" s="148" t="e">
        <v>#REF!</v>
      </c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</row>
    <row r="169" ht="14.25" customHeight="1">
      <c r="A169" s="152" t="s">
        <v>13</v>
      </c>
      <c r="B169" s="135" t="s">
        <v>1118</v>
      </c>
      <c r="C169" s="77">
        <v>46135.0</v>
      </c>
      <c r="D169" s="161">
        <v>109743.0</v>
      </c>
      <c r="E169" s="60">
        <v>26.10625</v>
      </c>
      <c r="F169" s="60">
        <v>26.36133</v>
      </c>
      <c r="G169" s="62" t="s">
        <v>1140</v>
      </c>
      <c r="H169" s="63" t="s">
        <v>45</v>
      </c>
      <c r="I169" s="155">
        <v>1.0</v>
      </c>
      <c r="J169" s="85">
        <v>4.55</v>
      </c>
      <c r="K169" s="80" t="s">
        <v>63</v>
      </c>
      <c r="L169" s="66" t="s">
        <v>1141</v>
      </c>
      <c r="M169" s="156">
        <v>24.0</v>
      </c>
      <c r="N169" s="157">
        <v>0.675</v>
      </c>
      <c r="O169" s="87">
        <v>4.415</v>
      </c>
      <c r="P169" s="151" t="s">
        <v>153</v>
      </c>
      <c r="Q169" s="143" t="s">
        <v>154</v>
      </c>
      <c r="R169" s="74" t="s">
        <v>1038</v>
      </c>
      <c r="S169" s="158"/>
      <c r="T169" s="146">
        <f t="shared" si="11"/>
        <v>456</v>
      </c>
      <c r="U169" s="146">
        <f t="shared" ref="U169:U171" si="26">round((O169*89)+(550*N169),-1)</f>
        <v>760</v>
      </c>
      <c r="V169" s="147" t="s">
        <v>38</v>
      </c>
      <c r="W169" s="74" t="b">
        <v>1</v>
      </c>
      <c r="X169" s="74" t="b">
        <v>0</v>
      </c>
      <c r="Y169" s="74" t="b">
        <v>1</v>
      </c>
      <c r="Z169" s="148" t="str">
        <f>IFERROR(__xludf.DUMMYFUNCTION("""COMPUTED_VALUE"""),"#REF!")</f>
        <v>#REF!</v>
      </c>
      <c r="AA169" s="148" t="str">
        <f>IFERROR(__xludf.DUMMYFUNCTION("""COMPUTED_VALUE"""),"#REF!")</f>
        <v>#REF!</v>
      </c>
      <c r="AB169" s="148" t="str">
        <f>IFERROR(__xludf.DUMMYFUNCTION("""COMPUTED_VALUE"""),"#REF!")</f>
        <v>#REF!</v>
      </c>
      <c r="AC169" s="148"/>
      <c r="AD169" s="153">
        <v>46135.0</v>
      </c>
      <c r="AE169" s="148"/>
      <c r="AF169" s="47">
        <v>109743.0</v>
      </c>
      <c r="AG169" s="148" t="s">
        <v>1142</v>
      </c>
      <c r="AH169" s="148"/>
      <c r="AI169" s="148" t="s">
        <v>1140</v>
      </c>
      <c r="AJ169" s="148" t="e">
        <v>#REF!</v>
      </c>
      <c r="AK169" s="148" t="e">
        <v>#REF!</v>
      </c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</row>
    <row r="170" ht="14.25" customHeight="1">
      <c r="A170" s="152" t="s">
        <v>13</v>
      </c>
      <c r="B170" s="135" t="s">
        <v>1118</v>
      </c>
      <c r="C170" s="77">
        <v>46135.0</v>
      </c>
      <c r="D170" s="161">
        <v>109744.0</v>
      </c>
      <c r="E170" s="60">
        <v>26.10607</v>
      </c>
      <c r="F170" s="60">
        <v>26.36098</v>
      </c>
      <c r="G170" s="62" t="s">
        <v>1143</v>
      </c>
      <c r="H170" s="63" t="s">
        <v>45</v>
      </c>
      <c r="I170" s="155">
        <v>1.0</v>
      </c>
      <c r="J170" s="85">
        <v>1.16</v>
      </c>
      <c r="K170" s="80" t="s">
        <v>215</v>
      </c>
      <c r="L170" s="66" t="s">
        <v>1144</v>
      </c>
      <c r="M170" s="156"/>
      <c r="N170" s="157"/>
      <c r="O170" s="87">
        <v>1.16</v>
      </c>
      <c r="P170" s="151" t="s">
        <v>153</v>
      </c>
      <c r="Q170" s="143" t="s">
        <v>154</v>
      </c>
      <c r="R170" s="74" t="s">
        <v>1038</v>
      </c>
      <c r="S170" s="158"/>
      <c r="T170" s="146">
        <f t="shared" si="11"/>
        <v>60</v>
      </c>
      <c r="U170" s="146">
        <f t="shared" si="26"/>
        <v>100</v>
      </c>
      <c r="V170" s="147" t="s">
        <v>38</v>
      </c>
      <c r="W170" s="74" t="b">
        <v>0</v>
      </c>
      <c r="X170" s="74" t="b">
        <v>0</v>
      </c>
      <c r="Y170" s="74" t="b">
        <v>1</v>
      </c>
      <c r="Z170" s="148" t="str">
        <f>IFERROR(__xludf.DUMMYFUNCTION("""COMPUTED_VALUE"""),"#REF!")</f>
        <v>#REF!</v>
      </c>
      <c r="AA170" s="148" t="str">
        <f>IFERROR(__xludf.DUMMYFUNCTION("""COMPUTED_VALUE"""),"#REF!")</f>
        <v>#REF!</v>
      </c>
      <c r="AB170" s="148" t="str">
        <f>IFERROR(__xludf.DUMMYFUNCTION("""COMPUTED_VALUE"""),"#REF!")</f>
        <v>#REF!</v>
      </c>
      <c r="AC170" s="148"/>
      <c r="AD170" s="153">
        <v>46135.0</v>
      </c>
      <c r="AE170" s="148"/>
      <c r="AF170" s="47">
        <v>109744.0</v>
      </c>
      <c r="AG170" s="148" t="s">
        <v>1145</v>
      </c>
      <c r="AH170" s="148"/>
      <c r="AI170" s="148" t="s">
        <v>1143</v>
      </c>
      <c r="AJ170" s="148" t="e">
        <v>#REF!</v>
      </c>
      <c r="AK170" s="148" t="e">
        <v>#REF!</v>
      </c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</row>
    <row r="171" ht="14.25" customHeight="1">
      <c r="A171" s="152" t="s">
        <v>13</v>
      </c>
      <c r="B171" s="135" t="s">
        <v>1118</v>
      </c>
      <c r="C171" s="77">
        <v>46135.0</v>
      </c>
      <c r="D171" s="161">
        <v>109745.0</v>
      </c>
      <c r="E171" s="60">
        <v>26.10607</v>
      </c>
      <c r="F171" s="60">
        <v>26.36099</v>
      </c>
      <c r="G171" s="62" t="s">
        <v>1146</v>
      </c>
      <c r="H171" s="63" t="s">
        <v>45</v>
      </c>
      <c r="I171" s="155">
        <v>1.0</v>
      </c>
      <c r="J171" s="85">
        <v>1.0</v>
      </c>
      <c r="K171" s="80" t="s">
        <v>215</v>
      </c>
      <c r="L171" s="66" t="s">
        <v>1147</v>
      </c>
      <c r="M171" s="156"/>
      <c r="N171" s="157"/>
      <c r="O171" s="87">
        <v>1.0</v>
      </c>
      <c r="P171" s="151" t="s">
        <v>153</v>
      </c>
      <c r="Q171" s="143" t="s">
        <v>154</v>
      </c>
      <c r="R171" s="74" t="s">
        <v>1038</v>
      </c>
      <c r="S171" s="158"/>
      <c r="T171" s="146">
        <f t="shared" si="11"/>
        <v>54</v>
      </c>
      <c r="U171" s="146">
        <f t="shared" si="26"/>
        <v>90</v>
      </c>
      <c r="V171" s="147" t="s">
        <v>38</v>
      </c>
      <c r="W171" s="74" t="b">
        <v>0</v>
      </c>
      <c r="X171" s="74" t="b">
        <v>0</v>
      </c>
      <c r="Y171" s="74" t="b">
        <v>1</v>
      </c>
      <c r="Z171" s="148" t="str">
        <f>IFERROR(__xludf.DUMMYFUNCTION("""COMPUTED_VALUE"""),"#REF!")</f>
        <v>#REF!</v>
      </c>
      <c r="AA171" s="148" t="str">
        <f>IFERROR(__xludf.DUMMYFUNCTION("""COMPUTED_VALUE"""),"#REF!")</f>
        <v>#REF!</v>
      </c>
      <c r="AB171" s="148" t="str">
        <f>IFERROR(__xludf.DUMMYFUNCTION("""COMPUTED_VALUE"""),"#REF!")</f>
        <v>#REF!</v>
      </c>
      <c r="AC171" s="148"/>
      <c r="AD171" s="153">
        <v>46135.0</v>
      </c>
      <c r="AE171" s="148"/>
      <c r="AF171" s="47">
        <v>109745.0</v>
      </c>
      <c r="AG171" s="148" t="s">
        <v>1148</v>
      </c>
      <c r="AH171" s="148"/>
      <c r="AI171" s="148" t="s">
        <v>1146</v>
      </c>
      <c r="AJ171" s="148" t="e">
        <v>#REF!</v>
      </c>
      <c r="AK171" s="148" t="e">
        <v>#REF!</v>
      </c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</row>
    <row r="172" ht="14.25" customHeight="1">
      <c r="A172" s="152" t="s">
        <v>13</v>
      </c>
      <c r="B172" s="135" t="s">
        <v>1118</v>
      </c>
      <c r="C172" s="77">
        <v>46135.0</v>
      </c>
      <c r="D172" s="161">
        <v>109746.0</v>
      </c>
      <c r="E172" s="60">
        <v>26.10604</v>
      </c>
      <c r="F172" s="60">
        <v>26.36072</v>
      </c>
      <c r="G172" s="62" t="s">
        <v>1149</v>
      </c>
      <c r="H172" s="154" t="s">
        <v>106</v>
      </c>
      <c r="I172" s="155">
        <v>1.0</v>
      </c>
      <c r="J172" s="85">
        <v>1.62</v>
      </c>
      <c r="K172" s="80" t="s">
        <v>296</v>
      </c>
      <c r="L172" s="66" t="s">
        <v>1150</v>
      </c>
      <c r="M172" s="156">
        <v>4.0</v>
      </c>
      <c r="N172" s="157">
        <v>0.439</v>
      </c>
      <c r="O172" s="87">
        <v>1.5322</v>
      </c>
      <c r="P172" s="142" t="s">
        <v>298</v>
      </c>
      <c r="Q172" s="143" t="s">
        <v>154</v>
      </c>
      <c r="R172" s="74" t="s">
        <v>1038</v>
      </c>
      <c r="S172" s="158"/>
      <c r="T172" s="146">
        <f t="shared" si="11"/>
        <v>66</v>
      </c>
      <c r="U172" s="146">
        <f>round((O172*69)+(10*N172),-1)</f>
        <v>110</v>
      </c>
      <c r="V172" s="147" t="s">
        <v>38</v>
      </c>
      <c r="W172" s="74" t="b">
        <v>1</v>
      </c>
      <c r="X172" s="74" t="b">
        <v>0</v>
      </c>
      <c r="Y172" s="74" t="b">
        <v>1</v>
      </c>
      <c r="Z172" s="148" t="str">
        <f>IFERROR(__xludf.DUMMYFUNCTION("""COMPUTED_VALUE"""),"#REF!")</f>
        <v>#REF!</v>
      </c>
      <c r="AA172" s="148" t="str">
        <f>IFERROR(__xludf.DUMMYFUNCTION("""COMPUTED_VALUE"""),"#REF!")</f>
        <v>#REF!</v>
      </c>
      <c r="AB172" s="148" t="str">
        <f>IFERROR(__xludf.DUMMYFUNCTION("""COMPUTED_VALUE"""),"#REF!")</f>
        <v>#REF!</v>
      </c>
      <c r="AC172" s="148"/>
      <c r="AD172" s="153">
        <v>46135.0</v>
      </c>
      <c r="AE172" s="148"/>
      <c r="AF172" s="47">
        <v>109746.0</v>
      </c>
      <c r="AG172" s="148" t="s">
        <v>1151</v>
      </c>
      <c r="AH172" s="148"/>
      <c r="AI172" s="148" t="s">
        <v>1149</v>
      </c>
      <c r="AJ172" s="148" t="e">
        <v>#REF!</v>
      </c>
      <c r="AK172" s="148" t="e">
        <v>#REF!</v>
      </c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</row>
    <row r="173" ht="14.25" customHeight="1">
      <c r="A173" s="152" t="s">
        <v>13</v>
      </c>
      <c r="B173" s="135" t="s">
        <v>1118</v>
      </c>
      <c r="C173" s="77">
        <v>46135.0</v>
      </c>
      <c r="D173" s="161">
        <v>109811.0</v>
      </c>
      <c r="E173" s="60">
        <v>25.9882</v>
      </c>
      <c r="F173" s="60">
        <v>25.33777</v>
      </c>
      <c r="G173" s="62" t="s">
        <v>1152</v>
      </c>
      <c r="H173" s="63" t="s">
        <v>34</v>
      </c>
      <c r="I173" s="155">
        <v>1.0</v>
      </c>
      <c r="J173" s="85">
        <v>2.84</v>
      </c>
      <c r="K173" s="80" t="s">
        <v>68</v>
      </c>
      <c r="L173" s="66" t="s">
        <v>1153</v>
      </c>
      <c r="M173" s="156"/>
      <c r="N173" s="157"/>
      <c r="O173" s="87">
        <v>2.84</v>
      </c>
      <c r="P173" s="151" t="s">
        <v>162</v>
      </c>
      <c r="Q173" s="143" t="s">
        <v>154</v>
      </c>
      <c r="R173" s="74" t="s">
        <v>155</v>
      </c>
      <c r="S173" s="158"/>
      <c r="T173" s="146">
        <f t="shared" si="11"/>
        <v>150</v>
      </c>
      <c r="U173" s="146">
        <f t="shared" ref="U173:U188" si="27">round((O173*89)+(550*N173),-1)</f>
        <v>250</v>
      </c>
      <c r="V173" s="147" t="s">
        <v>38</v>
      </c>
      <c r="W173" s="74" t="b">
        <v>0</v>
      </c>
      <c r="X173" s="74" t="b">
        <v>0</v>
      </c>
      <c r="Y173" s="74" t="b">
        <v>1</v>
      </c>
      <c r="Z173" s="148" t="str">
        <f>IFERROR(__xludf.DUMMYFUNCTION("""COMPUTED_VALUE"""),"#REF!")</f>
        <v>#REF!</v>
      </c>
      <c r="AA173" s="148" t="str">
        <f>IFERROR(__xludf.DUMMYFUNCTION("""COMPUTED_VALUE"""),"#REF!")</f>
        <v>#REF!</v>
      </c>
      <c r="AB173" s="148" t="str">
        <f>IFERROR(__xludf.DUMMYFUNCTION("""COMPUTED_VALUE"""),"#REF!")</f>
        <v>#REF!</v>
      </c>
      <c r="AC173" s="148"/>
      <c r="AD173" s="153">
        <v>46135.0</v>
      </c>
      <c r="AE173" s="148"/>
      <c r="AF173" s="47">
        <v>109811.0</v>
      </c>
      <c r="AG173" s="148" t="s">
        <v>1154</v>
      </c>
      <c r="AH173" s="148"/>
      <c r="AI173" s="148" t="s">
        <v>1152</v>
      </c>
      <c r="AJ173" s="148" t="e">
        <v>#REF!</v>
      </c>
      <c r="AK173" s="148" t="e">
        <v>#REF!</v>
      </c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</row>
    <row r="174" ht="14.25" customHeight="1">
      <c r="A174" s="152" t="s">
        <v>13</v>
      </c>
      <c r="B174" s="135" t="s">
        <v>1155</v>
      </c>
      <c r="C174" s="77">
        <v>46137.0</v>
      </c>
      <c r="D174" s="161">
        <v>109812.0</v>
      </c>
      <c r="E174" s="60">
        <v>26.10582</v>
      </c>
      <c r="F174" s="60">
        <v>26.36027</v>
      </c>
      <c r="G174" s="62" t="s">
        <v>1156</v>
      </c>
      <c r="H174" s="63" t="s">
        <v>45</v>
      </c>
      <c r="I174" s="155">
        <v>1.0</v>
      </c>
      <c r="J174" s="85">
        <v>10.32</v>
      </c>
      <c r="K174" s="80" t="s">
        <v>269</v>
      </c>
      <c r="L174" s="66" t="s">
        <v>1157</v>
      </c>
      <c r="M174" s="156"/>
      <c r="N174" s="157"/>
      <c r="O174" s="87">
        <v>10.32</v>
      </c>
      <c r="P174" s="151" t="s">
        <v>153</v>
      </c>
      <c r="Q174" s="143" t="s">
        <v>154</v>
      </c>
      <c r="R174" s="74" t="s">
        <v>1038</v>
      </c>
      <c r="S174" s="158"/>
      <c r="T174" s="146">
        <f t="shared" si="11"/>
        <v>552</v>
      </c>
      <c r="U174" s="146">
        <f t="shared" si="27"/>
        <v>920</v>
      </c>
      <c r="V174" s="147" t="s">
        <v>38</v>
      </c>
      <c r="W174" s="74" t="b">
        <v>0</v>
      </c>
      <c r="X174" s="74" t="b">
        <v>0</v>
      </c>
      <c r="Y174" s="74" t="b">
        <v>1</v>
      </c>
      <c r="Z174" s="148" t="str">
        <f>IFERROR(__xludf.DUMMYFUNCTION("""COMPUTED_VALUE"""),"#REF!")</f>
        <v>#REF!</v>
      </c>
      <c r="AA174" s="148" t="str">
        <f>IFERROR(__xludf.DUMMYFUNCTION("""COMPUTED_VALUE"""),"#REF!")</f>
        <v>#REF!</v>
      </c>
      <c r="AB174" s="148" t="str">
        <f>IFERROR(__xludf.DUMMYFUNCTION("""COMPUTED_VALUE"""),"#REF!")</f>
        <v>#REF!</v>
      </c>
      <c r="AC174" s="148"/>
      <c r="AD174" s="153">
        <v>46137.0</v>
      </c>
      <c r="AE174" s="148"/>
      <c r="AF174" s="47">
        <v>109812.0</v>
      </c>
      <c r="AG174" s="148" t="s">
        <v>1158</v>
      </c>
      <c r="AH174" s="148"/>
      <c r="AI174" s="148" t="s">
        <v>1156</v>
      </c>
      <c r="AJ174" s="148" t="e">
        <v>#REF!</v>
      </c>
      <c r="AK174" s="148" t="e">
        <v>#REF!</v>
      </c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</row>
    <row r="175" ht="14.25" customHeight="1">
      <c r="A175" s="152" t="s">
        <v>13</v>
      </c>
      <c r="B175" s="135" t="s">
        <v>1155</v>
      </c>
      <c r="C175" s="77">
        <v>46137.0</v>
      </c>
      <c r="D175" s="161">
        <v>109813.0</v>
      </c>
      <c r="E175" s="60">
        <v>26.10689</v>
      </c>
      <c r="F175" s="60">
        <v>26.36378</v>
      </c>
      <c r="G175" s="62" t="s">
        <v>1159</v>
      </c>
      <c r="H175" s="63" t="s">
        <v>45</v>
      </c>
      <c r="I175" s="155">
        <v>1.0</v>
      </c>
      <c r="J175" s="85">
        <v>3.97</v>
      </c>
      <c r="K175" s="80" t="s">
        <v>57</v>
      </c>
      <c r="L175" s="66" t="s">
        <v>1160</v>
      </c>
      <c r="M175" s="156"/>
      <c r="N175" s="157"/>
      <c r="O175" s="87">
        <v>3.97</v>
      </c>
      <c r="P175" s="151" t="s">
        <v>153</v>
      </c>
      <c r="Q175" s="143" t="s">
        <v>154</v>
      </c>
      <c r="R175" s="74" t="s">
        <v>1038</v>
      </c>
      <c r="S175" s="158"/>
      <c r="T175" s="146">
        <f t="shared" si="11"/>
        <v>210</v>
      </c>
      <c r="U175" s="146">
        <f t="shared" si="27"/>
        <v>350</v>
      </c>
      <c r="V175" s="147" t="s">
        <v>38</v>
      </c>
      <c r="W175" s="74" t="b">
        <v>0</v>
      </c>
      <c r="X175" s="74" t="b">
        <v>0</v>
      </c>
      <c r="Y175" s="74" t="b">
        <v>1</v>
      </c>
      <c r="Z175" s="148" t="str">
        <f>IFERROR(__xludf.DUMMYFUNCTION("""COMPUTED_VALUE"""),"#REF!")</f>
        <v>#REF!</v>
      </c>
      <c r="AA175" s="148" t="str">
        <f>IFERROR(__xludf.DUMMYFUNCTION("""COMPUTED_VALUE"""),"#REF!")</f>
        <v>#REF!</v>
      </c>
      <c r="AB175" s="148" t="str">
        <f>IFERROR(__xludf.DUMMYFUNCTION("""COMPUTED_VALUE"""),"#REF!")</f>
        <v>#REF!</v>
      </c>
      <c r="AC175" s="148"/>
      <c r="AD175" s="153">
        <v>46137.0</v>
      </c>
      <c r="AE175" s="148"/>
      <c r="AF175" s="47">
        <v>109813.0</v>
      </c>
      <c r="AG175" s="148" t="s">
        <v>1161</v>
      </c>
      <c r="AH175" s="148"/>
      <c r="AI175" s="148" t="s">
        <v>1159</v>
      </c>
      <c r="AJ175" s="148" t="e">
        <v>#REF!</v>
      </c>
      <c r="AK175" s="148" t="e">
        <v>#REF!</v>
      </c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</row>
    <row r="176" ht="14.25" customHeight="1">
      <c r="A176" s="152" t="s">
        <v>13</v>
      </c>
      <c r="B176" s="135" t="s">
        <v>1155</v>
      </c>
      <c r="C176" s="77">
        <v>46137.0</v>
      </c>
      <c r="D176" s="161">
        <v>109814.0</v>
      </c>
      <c r="E176" s="60">
        <v>26.10589</v>
      </c>
      <c r="F176" s="60">
        <v>26.3605</v>
      </c>
      <c r="G176" s="62" t="s">
        <v>1162</v>
      </c>
      <c r="H176" s="63" t="s">
        <v>45</v>
      </c>
      <c r="I176" s="155">
        <v>1.0</v>
      </c>
      <c r="J176" s="85">
        <v>3.17</v>
      </c>
      <c r="K176" s="80" t="s">
        <v>68</v>
      </c>
      <c r="L176" s="66" t="s">
        <v>1163</v>
      </c>
      <c r="M176" s="156"/>
      <c r="N176" s="157"/>
      <c r="O176" s="87">
        <v>3.17</v>
      </c>
      <c r="P176" s="151" t="s">
        <v>153</v>
      </c>
      <c r="Q176" s="143" t="s">
        <v>154</v>
      </c>
      <c r="R176" s="74" t="s">
        <v>1038</v>
      </c>
      <c r="S176" s="158"/>
      <c r="T176" s="146">
        <f t="shared" si="11"/>
        <v>168</v>
      </c>
      <c r="U176" s="146">
        <f t="shared" si="27"/>
        <v>280</v>
      </c>
      <c r="V176" s="147" t="s">
        <v>38</v>
      </c>
      <c r="W176" s="74" t="b">
        <v>0</v>
      </c>
      <c r="X176" s="74" t="b">
        <v>0</v>
      </c>
      <c r="Y176" s="74" t="b">
        <v>1</v>
      </c>
      <c r="Z176" s="148" t="str">
        <f>IFERROR(__xludf.DUMMYFUNCTION("""COMPUTED_VALUE"""),"#REF!")</f>
        <v>#REF!</v>
      </c>
      <c r="AA176" s="148" t="str">
        <f>IFERROR(__xludf.DUMMYFUNCTION("""COMPUTED_VALUE"""),"#REF!")</f>
        <v>#REF!</v>
      </c>
      <c r="AB176" s="148" t="str">
        <f>IFERROR(__xludf.DUMMYFUNCTION("""COMPUTED_VALUE"""),"#REF!")</f>
        <v>#REF!</v>
      </c>
      <c r="AC176" s="148"/>
      <c r="AD176" s="153">
        <v>46137.0</v>
      </c>
      <c r="AE176" s="148"/>
      <c r="AF176" s="47">
        <v>109814.0</v>
      </c>
      <c r="AG176" s="148" t="s">
        <v>1164</v>
      </c>
      <c r="AH176" s="148"/>
      <c r="AI176" s="148" t="s">
        <v>1162</v>
      </c>
      <c r="AJ176" s="148" t="e">
        <v>#REF!</v>
      </c>
      <c r="AK176" s="148" t="e">
        <v>#REF!</v>
      </c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</row>
    <row r="177" ht="14.25" customHeight="1">
      <c r="A177" s="152" t="s">
        <v>13</v>
      </c>
      <c r="B177" s="135" t="s">
        <v>1155</v>
      </c>
      <c r="C177" s="77">
        <v>46137.0</v>
      </c>
      <c r="D177" s="161">
        <v>109815.0</v>
      </c>
      <c r="E177" s="60">
        <v>26.10589</v>
      </c>
      <c r="F177" s="60">
        <v>26.36076</v>
      </c>
      <c r="G177" s="62" t="s">
        <v>1165</v>
      </c>
      <c r="H177" s="63" t="s">
        <v>45</v>
      </c>
      <c r="I177" s="155">
        <v>1.0</v>
      </c>
      <c r="J177" s="85">
        <v>6.73</v>
      </c>
      <c r="K177" s="80" t="s">
        <v>68</v>
      </c>
      <c r="L177" s="66" t="s">
        <v>1166</v>
      </c>
      <c r="M177" s="156"/>
      <c r="N177" s="157"/>
      <c r="O177" s="87">
        <v>6.73</v>
      </c>
      <c r="P177" s="151" t="s">
        <v>153</v>
      </c>
      <c r="Q177" s="143" t="s">
        <v>154</v>
      </c>
      <c r="R177" s="74" t="s">
        <v>1038</v>
      </c>
      <c r="S177" s="158"/>
      <c r="T177" s="146">
        <f t="shared" si="11"/>
        <v>360</v>
      </c>
      <c r="U177" s="146">
        <f t="shared" si="27"/>
        <v>600</v>
      </c>
      <c r="V177" s="147" t="s">
        <v>38</v>
      </c>
      <c r="W177" s="74" t="b">
        <v>0</v>
      </c>
      <c r="X177" s="74" t="b">
        <v>0</v>
      </c>
      <c r="Y177" s="74" t="b">
        <v>1</v>
      </c>
      <c r="Z177" s="148" t="str">
        <f>IFERROR(__xludf.DUMMYFUNCTION("""COMPUTED_VALUE"""),"#REF!")</f>
        <v>#REF!</v>
      </c>
      <c r="AA177" s="148" t="str">
        <f>IFERROR(__xludf.DUMMYFUNCTION("""COMPUTED_VALUE"""),"#REF!")</f>
        <v>#REF!</v>
      </c>
      <c r="AB177" s="148" t="str">
        <f>IFERROR(__xludf.DUMMYFUNCTION("""COMPUTED_VALUE"""),"#REF!")</f>
        <v>#REF!</v>
      </c>
      <c r="AC177" s="148"/>
      <c r="AD177" s="153">
        <v>46137.0</v>
      </c>
      <c r="AE177" s="148"/>
      <c r="AF177" s="47">
        <v>109815.0</v>
      </c>
      <c r="AG177" s="148" t="s">
        <v>1167</v>
      </c>
      <c r="AH177" s="148"/>
      <c r="AI177" s="148" t="s">
        <v>1165</v>
      </c>
      <c r="AJ177" s="148" t="e">
        <v>#REF!</v>
      </c>
      <c r="AK177" s="148" t="e">
        <v>#REF!</v>
      </c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</row>
    <row r="178" ht="14.25" customHeight="1">
      <c r="A178" s="152" t="s">
        <v>13</v>
      </c>
      <c r="B178" s="135" t="s">
        <v>1155</v>
      </c>
      <c r="C178" s="77">
        <v>46137.0</v>
      </c>
      <c r="D178" s="161">
        <v>109816.0</v>
      </c>
      <c r="E178" s="159">
        <v>25.9893</v>
      </c>
      <c r="F178" s="162">
        <v>25.33873</v>
      </c>
      <c r="G178" s="62" t="s">
        <v>1168</v>
      </c>
      <c r="H178" s="63" t="s">
        <v>45</v>
      </c>
      <c r="I178" s="155">
        <v>1.0</v>
      </c>
      <c r="J178" s="85">
        <v>5.07</v>
      </c>
      <c r="K178" s="80" t="s">
        <v>68</v>
      </c>
      <c r="L178" s="66" t="s">
        <v>1169</v>
      </c>
      <c r="M178" s="156"/>
      <c r="N178" s="157"/>
      <c r="O178" s="87">
        <v>5.07</v>
      </c>
      <c r="P178" s="151" t="s">
        <v>162</v>
      </c>
      <c r="Q178" s="143" t="s">
        <v>154</v>
      </c>
      <c r="R178" s="74" t="s">
        <v>495</v>
      </c>
      <c r="S178" s="158"/>
      <c r="T178" s="146">
        <f t="shared" si="11"/>
        <v>270</v>
      </c>
      <c r="U178" s="146">
        <f t="shared" si="27"/>
        <v>450</v>
      </c>
      <c r="V178" s="147" t="s">
        <v>38</v>
      </c>
      <c r="W178" s="74" t="b">
        <v>0</v>
      </c>
      <c r="X178" s="74" t="b">
        <v>0</v>
      </c>
      <c r="Y178" s="74" t="b">
        <v>1</v>
      </c>
      <c r="Z178" s="148" t="str">
        <f>IFERROR(__xludf.DUMMYFUNCTION("""COMPUTED_VALUE"""),"#REF!")</f>
        <v>#REF!</v>
      </c>
      <c r="AA178" s="148" t="str">
        <f>IFERROR(__xludf.DUMMYFUNCTION("""COMPUTED_VALUE"""),"#REF!")</f>
        <v>#REF!</v>
      </c>
      <c r="AB178" s="148" t="str">
        <f>IFERROR(__xludf.DUMMYFUNCTION("""COMPUTED_VALUE"""),"#REF!")</f>
        <v>#REF!</v>
      </c>
      <c r="AC178" s="148"/>
      <c r="AD178" s="153">
        <v>46137.0</v>
      </c>
      <c r="AE178" s="148"/>
      <c r="AF178" s="47">
        <v>109816.0</v>
      </c>
      <c r="AG178" s="148" t="s">
        <v>1170</v>
      </c>
      <c r="AH178" s="148"/>
      <c r="AI178" s="148" t="s">
        <v>1168</v>
      </c>
      <c r="AJ178" s="148" t="e">
        <v>#REF!</v>
      </c>
      <c r="AK178" s="148" t="e">
        <v>#REF!</v>
      </c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</row>
    <row r="179" ht="14.25" customHeight="1">
      <c r="A179" s="152" t="s">
        <v>13</v>
      </c>
      <c r="B179" s="135" t="s">
        <v>1155</v>
      </c>
      <c r="C179" s="77">
        <v>46137.0</v>
      </c>
      <c r="D179" s="161">
        <v>109817.0</v>
      </c>
      <c r="E179" s="159">
        <v>25.9893</v>
      </c>
      <c r="F179" s="162">
        <v>25.33874</v>
      </c>
      <c r="G179" s="62" t="s">
        <v>1171</v>
      </c>
      <c r="H179" s="63" t="s">
        <v>45</v>
      </c>
      <c r="I179" s="155">
        <v>1.0</v>
      </c>
      <c r="J179" s="85">
        <v>4.96</v>
      </c>
      <c r="K179" s="80" t="s">
        <v>68</v>
      </c>
      <c r="L179" s="66" t="s">
        <v>1172</v>
      </c>
      <c r="M179" s="156"/>
      <c r="N179" s="157"/>
      <c r="O179" s="87">
        <v>4.96</v>
      </c>
      <c r="P179" s="151" t="s">
        <v>162</v>
      </c>
      <c r="Q179" s="143" t="s">
        <v>154</v>
      </c>
      <c r="R179" s="74" t="s">
        <v>495</v>
      </c>
      <c r="S179" s="158"/>
      <c r="T179" s="146">
        <f t="shared" si="11"/>
        <v>264</v>
      </c>
      <c r="U179" s="146">
        <f t="shared" si="27"/>
        <v>440</v>
      </c>
      <c r="V179" s="147" t="s">
        <v>38</v>
      </c>
      <c r="W179" s="74" t="b">
        <v>0</v>
      </c>
      <c r="X179" s="74" t="b">
        <v>0</v>
      </c>
      <c r="Y179" s="74" t="b">
        <v>1</v>
      </c>
      <c r="Z179" s="148" t="str">
        <f>IFERROR(__xludf.DUMMYFUNCTION("""COMPUTED_VALUE"""),"#REF!")</f>
        <v>#REF!</v>
      </c>
      <c r="AA179" s="148" t="str">
        <f>IFERROR(__xludf.DUMMYFUNCTION("""COMPUTED_VALUE"""),"#REF!")</f>
        <v>#REF!</v>
      </c>
      <c r="AB179" s="148" t="str">
        <f>IFERROR(__xludf.DUMMYFUNCTION("""COMPUTED_VALUE"""),"#REF!")</f>
        <v>#REF!</v>
      </c>
      <c r="AC179" s="148"/>
      <c r="AD179" s="153">
        <v>46137.0</v>
      </c>
      <c r="AE179" s="148"/>
      <c r="AF179" s="47">
        <v>109817.0</v>
      </c>
      <c r="AG179" s="148" t="s">
        <v>1173</v>
      </c>
      <c r="AH179" s="148"/>
      <c r="AI179" s="148" t="s">
        <v>1171</v>
      </c>
      <c r="AJ179" s="148" t="e">
        <v>#REF!</v>
      </c>
      <c r="AK179" s="148" t="e">
        <v>#REF!</v>
      </c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</row>
    <row r="180" ht="14.25" customHeight="1">
      <c r="A180" s="152" t="s">
        <v>13</v>
      </c>
      <c r="B180" s="135" t="s">
        <v>1155</v>
      </c>
      <c r="C180" s="77">
        <v>46137.0</v>
      </c>
      <c r="D180" s="161">
        <v>109818.0</v>
      </c>
      <c r="E180" s="159">
        <v>25.9893</v>
      </c>
      <c r="F180" s="162">
        <v>25.33875</v>
      </c>
      <c r="G180" s="62" t="s">
        <v>1174</v>
      </c>
      <c r="H180" s="63" t="s">
        <v>45</v>
      </c>
      <c r="I180" s="155">
        <v>1.0</v>
      </c>
      <c r="J180" s="85">
        <v>5.16</v>
      </c>
      <c r="K180" s="80" t="s">
        <v>68</v>
      </c>
      <c r="L180" s="66" t="s">
        <v>1175</v>
      </c>
      <c r="M180" s="156"/>
      <c r="N180" s="157"/>
      <c r="O180" s="87">
        <v>5.16</v>
      </c>
      <c r="P180" s="151" t="s">
        <v>162</v>
      </c>
      <c r="Q180" s="143" t="s">
        <v>163</v>
      </c>
      <c r="R180" s="74"/>
      <c r="S180" s="158"/>
      <c r="T180" s="146">
        <f t="shared" si="11"/>
        <v>276</v>
      </c>
      <c r="U180" s="146">
        <f t="shared" si="27"/>
        <v>460</v>
      </c>
      <c r="V180" s="147" t="s">
        <v>38</v>
      </c>
      <c r="W180" s="74" t="b">
        <v>0</v>
      </c>
      <c r="X180" s="74" t="b">
        <v>0</v>
      </c>
      <c r="Y180" s="74" t="b">
        <v>1</v>
      </c>
      <c r="Z180" s="148" t="str">
        <f>IFERROR(__xludf.DUMMYFUNCTION("""COMPUTED_VALUE"""),"#REF!")</f>
        <v>#REF!</v>
      </c>
      <c r="AA180" s="148" t="str">
        <f>IFERROR(__xludf.DUMMYFUNCTION("""COMPUTED_VALUE"""),"#REF!")</f>
        <v>#REF!</v>
      </c>
      <c r="AB180" s="148" t="str">
        <f>IFERROR(__xludf.DUMMYFUNCTION("""COMPUTED_VALUE"""),"#REF!")</f>
        <v>#REF!</v>
      </c>
      <c r="AC180" s="148"/>
      <c r="AD180" s="153">
        <v>46137.0</v>
      </c>
      <c r="AE180" s="148"/>
      <c r="AF180" s="47">
        <v>109818.0</v>
      </c>
      <c r="AG180" s="148" t="s">
        <v>1176</v>
      </c>
      <c r="AH180" s="148"/>
      <c r="AI180" s="148" t="s">
        <v>1174</v>
      </c>
      <c r="AJ180" s="148" t="e">
        <v>#REF!</v>
      </c>
      <c r="AK180" s="148" t="e">
        <v>#REF!</v>
      </c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</row>
    <row r="181" ht="14.25" customHeight="1">
      <c r="A181" s="152" t="s">
        <v>13</v>
      </c>
      <c r="B181" s="135" t="s">
        <v>1155</v>
      </c>
      <c r="C181" s="77">
        <v>46137.0</v>
      </c>
      <c r="D181" s="161">
        <v>109819.0</v>
      </c>
      <c r="E181" s="60">
        <v>25.9491</v>
      </c>
      <c r="F181" s="60">
        <v>25.32828</v>
      </c>
      <c r="G181" s="62" t="s">
        <v>1177</v>
      </c>
      <c r="H181" s="63" t="s">
        <v>45</v>
      </c>
      <c r="I181" s="155">
        <v>1.0</v>
      </c>
      <c r="J181" s="85">
        <v>2.15</v>
      </c>
      <c r="K181" s="80" t="s">
        <v>177</v>
      </c>
      <c r="L181" s="66" t="s">
        <v>1178</v>
      </c>
      <c r="M181" s="156"/>
      <c r="N181" s="157"/>
      <c r="O181" s="87">
        <v>2.15</v>
      </c>
      <c r="P181" s="151" t="s">
        <v>162</v>
      </c>
      <c r="Q181" s="143" t="s">
        <v>154</v>
      </c>
      <c r="R181" s="74" t="s">
        <v>155</v>
      </c>
      <c r="S181" s="158"/>
      <c r="T181" s="146">
        <f t="shared" si="11"/>
        <v>114</v>
      </c>
      <c r="U181" s="146">
        <f t="shared" si="27"/>
        <v>190</v>
      </c>
      <c r="V181" s="147" t="s">
        <v>38</v>
      </c>
      <c r="W181" s="74" t="b">
        <v>0</v>
      </c>
      <c r="X181" s="74" t="b">
        <v>0</v>
      </c>
      <c r="Y181" s="74" t="b">
        <v>1</v>
      </c>
      <c r="Z181" s="148" t="str">
        <f>IFERROR(__xludf.DUMMYFUNCTION("""COMPUTED_VALUE"""),"#REF!")</f>
        <v>#REF!</v>
      </c>
      <c r="AA181" s="148" t="str">
        <f>IFERROR(__xludf.DUMMYFUNCTION("""COMPUTED_VALUE"""),"#REF!")</f>
        <v>#REF!</v>
      </c>
      <c r="AB181" s="148" t="str">
        <f>IFERROR(__xludf.DUMMYFUNCTION("""COMPUTED_VALUE"""),"#REF!")</f>
        <v>#REF!</v>
      </c>
      <c r="AC181" s="148"/>
      <c r="AD181" s="153">
        <v>46137.0</v>
      </c>
      <c r="AE181" s="148"/>
      <c r="AF181" s="47">
        <v>109819.0</v>
      </c>
      <c r="AG181" s="148" t="s">
        <v>1179</v>
      </c>
      <c r="AH181" s="148"/>
      <c r="AI181" s="148" t="s">
        <v>1177</v>
      </c>
      <c r="AJ181" s="148" t="e">
        <v>#REF!</v>
      </c>
      <c r="AK181" s="148" t="e">
        <v>#REF!</v>
      </c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</row>
    <row r="182" ht="14.25" customHeight="1">
      <c r="A182" s="152" t="s">
        <v>13</v>
      </c>
      <c r="B182" s="135" t="s">
        <v>1155</v>
      </c>
      <c r="C182" s="77">
        <v>46137.0</v>
      </c>
      <c r="D182" s="161">
        <v>109820.0</v>
      </c>
      <c r="E182" s="60">
        <v>25.9385</v>
      </c>
      <c r="F182" s="60">
        <v>25.33752</v>
      </c>
      <c r="G182" s="62" t="s">
        <v>1180</v>
      </c>
      <c r="H182" s="63" t="s">
        <v>45</v>
      </c>
      <c r="I182" s="155">
        <v>1.0</v>
      </c>
      <c r="J182" s="85">
        <v>2.25</v>
      </c>
      <c r="K182" s="80" t="s">
        <v>177</v>
      </c>
      <c r="L182" s="66" t="s">
        <v>1181</v>
      </c>
      <c r="M182" s="156"/>
      <c r="N182" s="157"/>
      <c r="O182" s="87">
        <v>2.25</v>
      </c>
      <c r="P182" s="151" t="s">
        <v>162</v>
      </c>
      <c r="Q182" s="143" t="s">
        <v>154</v>
      </c>
      <c r="R182" s="74" t="s">
        <v>155</v>
      </c>
      <c r="S182" s="158"/>
      <c r="T182" s="146">
        <f t="shared" si="11"/>
        <v>120</v>
      </c>
      <c r="U182" s="146">
        <f t="shared" si="27"/>
        <v>200</v>
      </c>
      <c r="V182" s="147" t="s">
        <v>38</v>
      </c>
      <c r="W182" s="74" t="b">
        <v>0</v>
      </c>
      <c r="X182" s="74" t="b">
        <v>0</v>
      </c>
      <c r="Y182" s="74" t="b">
        <v>1</v>
      </c>
      <c r="Z182" s="148" t="str">
        <f>IFERROR(__xludf.DUMMYFUNCTION("""COMPUTED_VALUE"""),"#REF!")</f>
        <v>#REF!</v>
      </c>
      <c r="AA182" s="148" t="str">
        <f>IFERROR(__xludf.DUMMYFUNCTION("""COMPUTED_VALUE"""),"#REF!")</f>
        <v>#REF!</v>
      </c>
      <c r="AB182" s="148" t="str">
        <f>IFERROR(__xludf.DUMMYFUNCTION("""COMPUTED_VALUE"""),"#REF!")</f>
        <v>#REF!</v>
      </c>
      <c r="AC182" s="148"/>
      <c r="AD182" s="153">
        <v>46137.0</v>
      </c>
      <c r="AE182" s="148"/>
      <c r="AF182" s="47">
        <v>109820.0</v>
      </c>
      <c r="AG182" s="148" t="s">
        <v>1182</v>
      </c>
      <c r="AH182" s="148"/>
      <c r="AI182" s="148" t="s">
        <v>1180</v>
      </c>
      <c r="AJ182" s="148" t="e">
        <v>#REF!</v>
      </c>
      <c r="AK182" s="148" t="e">
        <v>#REF!</v>
      </c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</row>
    <row r="183" ht="14.25" customHeight="1">
      <c r="A183" s="152" t="s">
        <v>13</v>
      </c>
      <c r="B183" s="135" t="s">
        <v>1155</v>
      </c>
      <c r="C183" s="77">
        <v>46137.0</v>
      </c>
      <c r="D183" s="161">
        <v>109821.0</v>
      </c>
      <c r="E183" s="60">
        <v>25.9386</v>
      </c>
      <c r="F183" s="60">
        <v>25.3257</v>
      </c>
      <c r="G183" s="62" t="s">
        <v>1183</v>
      </c>
      <c r="H183" s="63" t="s">
        <v>45</v>
      </c>
      <c r="I183" s="155">
        <v>1.0</v>
      </c>
      <c r="J183" s="85">
        <v>2.28</v>
      </c>
      <c r="K183" s="80" t="s">
        <v>177</v>
      </c>
      <c r="L183" s="66" t="s">
        <v>1184</v>
      </c>
      <c r="M183" s="156"/>
      <c r="N183" s="157"/>
      <c r="O183" s="87">
        <v>2.28</v>
      </c>
      <c r="P183" s="151" t="s">
        <v>162</v>
      </c>
      <c r="Q183" s="143" t="s">
        <v>154</v>
      </c>
      <c r="R183" s="74" t="s">
        <v>155</v>
      </c>
      <c r="S183" s="158"/>
      <c r="T183" s="146">
        <f t="shared" si="11"/>
        <v>120</v>
      </c>
      <c r="U183" s="146">
        <f t="shared" si="27"/>
        <v>200</v>
      </c>
      <c r="V183" s="147" t="s">
        <v>38</v>
      </c>
      <c r="W183" s="74" t="b">
        <v>0</v>
      </c>
      <c r="X183" s="74" t="b">
        <v>0</v>
      </c>
      <c r="Y183" s="74" t="b">
        <v>1</v>
      </c>
      <c r="Z183" s="148" t="str">
        <f>IFERROR(__xludf.DUMMYFUNCTION("""COMPUTED_VALUE"""),"#REF!")</f>
        <v>#REF!</v>
      </c>
      <c r="AA183" s="148" t="str">
        <f>IFERROR(__xludf.DUMMYFUNCTION("""COMPUTED_VALUE"""),"#REF!")</f>
        <v>#REF!</v>
      </c>
      <c r="AB183" s="148" t="str">
        <f>IFERROR(__xludf.DUMMYFUNCTION("""COMPUTED_VALUE"""),"#REF!")</f>
        <v>#REF!</v>
      </c>
      <c r="AC183" s="148"/>
      <c r="AD183" s="153">
        <v>46137.0</v>
      </c>
      <c r="AE183" s="148"/>
      <c r="AF183" s="47">
        <v>109821.0</v>
      </c>
      <c r="AG183" s="148" t="s">
        <v>1185</v>
      </c>
      <c r="AH183" s="148"/>
      <c r="AI183" s="148" t="s">
        <v>1183</v>
      </c>
      <c r="AJ183" s="148" t="e">
        <v>#REF!</v>
      </c>
      <c r="AK183" s="148" t="e">
        <v>#REF!</v>
      </c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</row>
    <row r="184" ht="14.25" customHeight="1">
      <c r="A184" s="152" t="s">
        <v>13</v>
      </c>
      <c r="B184" s="135" t="s">
        <v>1155</v>
      </c>
      <c r="C184" s="77">
        <v>46137.0</v>
      </c>
      <c r="D184" s="161">
        <v>109822.0</v>
      </c>
      <c r="E184" s="60">
        <v>25.9382</v>
      </c>
      <c r="F184" s="60">
        <v>25.32562</v>
      </c>
      <c r="G184" s="62" t="s">
        <v>1186</v>
      </c>
      <c r="H184" s="63" t="s">
        <v>45</v>
      </c>
      <c r="I184" s="155">
        <v>1.0</v>
      </c>
      <c r="J184" s="85">
        <v>3.22</v>
      </c>
      <c r="K184" s="80" t="s">
        <v>177</v>
      </c>
      <c r="L184" s="66" t="s">
        <v>1187</v>
      </c>
      <c r="M184" s="156"/>
      <c r="N184" s="157"/>
      <c r="O184" s="87">
        <v>3.22</v>
      </c>
      <c r="P184" s="151" t="s">
        <v>162</v>
      </c>
      <c r="Q184" s="143" t="s">
        <v>154</v>
      </c>
      <c r="R184" s="74" t="s">
        <v>155</v>
      </c>
      <c r="S184" s="158"/>
      <c r="T184" s="146">
        <f t="shared" si="11"/>
        <v>174</v>
      </c>
      <c r="U184" s="146">
        <f t="shared" si="27"/>
        <v>290</v>
      </c>
      <c r="V184" s="147" t="s">
        <v>38</v>
      </c>
      <c r="W184" s="74" t="b">
        <v>0</v>
      </c>
      <c r="X184" s="74" t="b">
        <v>0</v>
      </c>
      <c r="Y184" s="74" t="b">
        <v>1</v>
      </c>
      <c r="Z184" s="148" t="str">
        <f>IFERROR(__xludf.DUMMYFUNCTION("""COMPUTED_VALUE"""),"#REF!")</f>
        <v>#REF!</v>
      </c>
      <c r="AA184" s="148" t="str">
        <f>IFERROR(__xludf.DUMMYFUNCTION("""COMPUTED_VALUE"""),"#REF!")</f>
        <v>#REF!</v>
      </c>
      <c r="AB184" s="148" t="str">
        <f>IFERROR(__xludf.DUMMYFUNCTION("""COMPUTED_VALUE"""),"#REF!")</f>
        <v>#REF!</v>
      </c>
      <c r="AC184" s="148"/>
      <c r="AD184" s="153">
        <v>46137.0</v>
      </c>
      <c r="AE184" s="148"/>
      <c r="AF184" s="47">
        <v>109822.0</v>
      </c>
      <c r="AG184" s="148" t="s">
        <v>1188</v>
      </c>
      <c r="AH184" s="148"/>
      <c r="AI184" s="148" t="s">
        <v>1186</v>
      </c>
      <c r="AJ184" s="148" t="e">
        <v>#REF!</v>
      </c>
      <c r="AK184" s="148" t="e">
        <v>#REF!</v>
      </c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</row>
    <row r="185" ht="14.25" customHeight="1">
      <c r="A185" s="152" t="s">
        <v>13</v>
      </c>
      <c r="B185" s="135" t="s">
        <v>1155</v>
      </c>
      <c r="C185" s="77">
        <v>46137.0</v>
      </c>
      <c r="D185" s="161">
        <v>109823.0</v>
      </c>
      <c r="E185" s="60">
        <v>25.9385</v>
      </c>
      <c r="F185" s="60">
        <v>25.32569</v>
      </c>
      <c r="G185" s="62" t="s">
        <v>1189</v>
      </c>
      <c r="H185" s="63" t="s">
        <v>34</v>
      </c>
      <c r="I185" s="155">
        <v>1.0</v>
      </c>
      <c r="J185" s="85">
        <v>2.42</v>
      </c>
      <c r="K185" s="80" t="s">
        <v>177</v>
      </c>
      <c r="L185" s="66" t="s">
        <v>1190</v>
      </c>
      <c r="M185" s="156"/>
      <c r="N185" s="157"/>
      <c r="O185" s="87">
        <v>2.42</v>
      </c>
      <c r="P185" s="151" t="s">
        <v>162</v>
      </c>
      <c r="Q185" s="143" t="s">
        <v>154</v>
      </c>
      <c r="R185" s="74" t="s">
        <v>155</v>
      </c>
      <c r="S185" s="158"/>
      <c r="T185" s="146">
        <f t="shared" si="11"/>
        <v>132</v>
      </c>
      <c r="U185" s="146">
        <f t="shared" si="27"/>
        <v>220</v>
      </c>
      <c r="V185" s="147" t="s">
        <v>38</v>
      </c>
      <c r="W185" s="74" t="b">
        <v>0</v>
      </c>
      <c r="X185" s="74" t="b">
        <v>0</v>
      </c>
      <c r="Y185" s="74" t="b">
        <v>1</v>
      </c>
      <c r="Z185" s="148" t="str">
        <f>IFERROR(__xludf.DUMMYFUNCTION("""COMPUTED_VALUE"""),"#REF!")</f>
        <v>#REF!</v>
      </c>
      <c r="AA185" s="148" t="str">
        <f>IFERROR(__xludf.DUMMYFUNCTION("""COMPUTED_VALUE"""),"#REF!")</f>
        <v>#REF!</v>
      </c>
      <c r="AB185" s="148" t="str">
        <f>IFERROR(__xludf.DUMMYFUNCTION("""COMPUTED_VALUE"""),"#REF!")</f>
        <v>#REF!</v>
      </c>
      <c r="AC185" s="148"/>
      <c r="AD185" s="153">
        <v>46137.0</v>
      </c>
      <c r="AE185" s="148"/>
      <c r="AF185" s="47">
        <v>109823.0</v>
      </c>
      <c r="AG185" s="148" t="s">
        <v>1191</v>
      </c>
      <c r="AH185" s="148"/>
      <c r="AI185" s="148" t="s">
        <v>1189</v>
      </c>
      <c r="AJ185" s="148" t="e">
        <v>#REF!</v>
      </c>
      <c r="AK185" s="148" t="e">
        <v>#REF!</v>
      </c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</row>
    <row r="186" ht="14.25" customHeight="1">
      <c r="A186" s="152" t="s">
        <v>13</v>
      </c>
      <c r="B186" s="135" t="s">
        <v>1192</v>
      </c>
      <c r="C186" s="77">
        <v>46137.0</v>
      </c>
      <c r="D186" s="161">
        <v>109824.0</v>
      </c>
      <c r="E186" s="60">
        <v>26.10723</v>
      </c>
      <c r="F186" s="60">
        <v>26.36437</v>
      </c>
      <c r="G186" s="62" t="s">
        <v>1193</v>
      </c>
      <c r="H186" s="63" t="s">
        <v>45</v>
      </c>
      <c r="I186" s="138">
        <v>1.0</v>
      </c>
      <c r="J186" s="79">
        <v>1.88</v>
      </c>
      <c r="K186" s="80" t="s">
        <v>46</v>
      </c>
      <c r="L186" s="66" t="s">
        <v>1194</v>
      </c>
      <c r="M186" s="81">
        <v>11.0</v>
      </c>
      <c r="N186" s="167">
        <v>0.514</v>
      </c>
      <c r="O186" s="69">
        <v>1.7772</v>
      </c>
      <c r="P186" s="151" t="s">
        <v>153</v>
      </c>
      <c r="Q186" s="143" t="s">
        <v>1195</v>
      </c>
      <c r="R186" s="74" t="s">
        <v>1196</v>
      </c>
      <c r="S186" s="158"/>
      <c r="T186" s="146">
        <f t="shared" si="11"/>
        <v>264</v>
      </c>
      <c r="U186" s="146">
        <f t="shared" si="27"/>
        <v>440</v>
      </c>
      <c r="V186" s="147" t="s">
        <v>38</v>
      </c>
      <c r="W186" s="74" t="b">
        <v>1</v>
      </c>
      <c r="X186" s="74" t="b">
        <v>0</v>
      </c>
      <c r="Y186" s="74" t="b">
        <v>1</v>
      </c>
      <c r="Z186" s="148" t="str">
        <f>IFERROR(__xludf.DUMMYFUNCTION("""COMPUTED_VALUE"""),"#REF!")</f>
        <v>#REF!</v>
      </c>
      <c r="AA186" s="148" t="str">
        <f>IFERROR(__xludf.DUMMYFUNCTION("""COMPUTED_VALUE"""),"#REF!")</f>
        <v>#REF!</v>
      </c>
      <c r="AB186" s="148" t="str">
        <f>IFERROR(__xludf.DUMMYFUNCTION("""COMPUTED_VALUE"""),"#REF!")</f>
        <v>#REF!</v>
      </c>
      <c r="AC186" s="148"/>
      <c r="AD186" s="153">
        <v>46137.0</v>
      </c>
      <c r="AE186" s="148"/>
      <c r="AF186" s="47">
        <v>109824.0</v>
      </c>
      <c r="AG186" s="148" t="s">
        <v>1197</v>
      </c>
      <c r="AH186" s="148"/>
      <c r="AI186" s="148" t="s">
        <v>1193</v>
      </c>
      <c r="AJ186" s="148" t="e">
        <v>#REF!</v>
      </c>
      <c r="AK186" s="148" t="e">
        <v>#REF!</v>
      </c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</row>
    <row r="187" ht="14.25" customHeight="1">
      <c r="A187" s="152" t="s">
        <v>13</v>
      </c>
      <c r="B187" s="135" t="s">
        <v>1198</v>
      </c>
      <c r="C187" s="77">
        <v>46137.0</v>
      </c>
      <c r="D187" s="161">
        <v>109825.0</v>
      </c>
      <c r="E187" s="60">
        <v>26.10554</v>
      </c>
      <c r="F187" s="60">
        <v>26.35948</v>
      </c>
      <c r="G187" s="62" t="s">
        <v>1199</v>
      </c>
      <c r="H187" s="63" t="s">
        <v>34</v>
      </c>
      <c r="I187" s="138">
        <v>1.0</v>
      </c>
      <c r="J187" s="79">
        <v>4.41</v>
      </c>
      <c r="K187" s="80" t="s">
        <v>160</v>
      </c>
      <c r="L187" s="66" t="s">
        <v>1200</v>
      </c>
      <c r="M187" s="81"/>
      <c r="N187" s="167"/>
      <c r="O187" s="69">
        <v>4.41</v>
      </c>
      <c r="P187" s="151" t="s">
        <v>153</v>
      </c>
      <c r="Q187" s="143" t="s">
        <v>154</v>
      </c>
      <c r="R187" s="74" t="s">
        <v>1038</v>
      </c>
      <c r="S187" s="158"/>
      <c r="T187" s="146">
        <f t="shared" si="11"/>
        <v>234</v>
      </c>
      <c r="U187" s="146">
        <f t="shared" si="27"/>
        <v>390</v>
      </c>
      <c r="V187" s="147" t="s">
        <v>38</v>
      </c>
      <c r="W187" s="74" t="b">
        <v>0</v>
      </c>
      <c r="X187" s="74" t="b">
        <v>0</v>
      </c>
      <c r="Y187" s="74" t="b">
        <v>1</v>
      </c>
      <c r="Z187" s="148" t="str">
        <f>IFERROR(__xludf.DUMMYFUNCTION("""COMPUTED_VALUE"""),"#REF!")</f>
        <v>#REF!</v>
      </c>
      <c r="AA187" s="148" t="str">
        <f>IFERROR(__xludf.DUMMYFUNCTION("""COMPUTED_VALUE"""),"#REF!")</f>
        <v>#REF!</v>
      </c>
      <c r="AB187" s="148" t="str">
        <f>IFERROR(__xludf.DUMMYFUNCTION("""COMPUTED_VALUE"""),"#REF!")</f>
        <v>#REF!</v>
      </c>
      <c r="AC187" s="148"/>
      <c r="AD187" s="153">
        <v>46137.0</v>
      </c>
      <c r="AE187" s="148"/>
      <c r="AF187" s="47">
        <v>109825.0</v>
      </c>
      <c r="AG187" s="148" t="s">
        <v>1201</v>
      </c>
      <c r="AH187" s="148"/>
      <c r="AI187" s="148" t="s">
        <v>1199</v>
      </c>
      <c r="AJ187" s="148" t="e">
        <v>#REF!</v>
      </c>
      <c r="AK187" s="148" t="e">
        <v>#REF!</v>
      </c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</row>
    <row r="188" ht="14.25" customHeight="1">
      <c r="A188" s="152" t="s">
        <v>13</v>
      </c>
      <c r="B188" s="135" t="s">
        <v>1198</v>
      </c>
      <c r="C188" s="77">
        <v>46137.0</v>
      </c>
      <c r="D188" s="161">
        <v>109826.0</v>
      </c>
      <c r="E188" s="60">
        <v>26.10588</v>
      </c>
      <c r="F188" s="60">
        <v>26.36051</v>
      </c>
      <c r="G188" s="62" t="s">
        <v>1202</v>
      </c>
      <c r="H188" s="63" t="s">
        <v>45</v>
      </c>
      <c r="I188" s="138">
        <v>1.0</v>
      </c>
      <c r="J188" s="79">
        <v>25.46</v>
      </c>
      <c r="K188" s="80" t="s">
        <v>77</v>
      </c>
      <c r="L188" s="66" t="s">
        <v>1203</v>
      </c>
      <c r="M188" s="81"/>
      <c r="N188" s="167"/>
      <c r="O188" s="69">
        <v>25.46</v>
      </c>
      <c r="P188" s="151" t="s">
        <v>153</v>
      </c>
      <c r="Q188" s="143" t="s">
        <v>154</v>
      </c>
      <c r="R188" s="74" t="s">
        <v>1038</v>
      </c>
      <c r="S188" s="158"/>
      <c r="T188" s="146">
        <f t="shared" si="11"/>
        <v>1362</v>
      </c>
      <c r="U188" s="146">
        <f t="shared" si="27"/>
        <v>2270</v>
      </c>
      <c r="V188" s="147" t="s">
        <v>38</v>
      </c>
      <c r="W188" s="74" t="b">
        <v>0</v>
      </c>
      <c r="X188" s="74" t="b">
        <v>0</v>
      </c>
      <c r="Y188" s="74" t="b">
        <v>1</v>
      </c>
      <c r="Z188" s="148" t="str">
        <f>IFERROR(__xludf.DUMMYFUNCTION("""COMPUTED_VALUE"""),"#REF!")</f>
        <v>#REF!</v>
      </c>
      <c r="AA188" s="148" t="str">
        <f>IFERROR(__xludf.DUMMYFUNCTION("""COMPUTED_VALUE"""),"#REF!")</f>
        <v>#REF!</v>
      </c>
      <c r="AB188" s="148" t="str">
        <f>IFERROR(__xludf.DUMMYFUNCTION("""COMPUTED_VALUE"""),"#REF!")</f>
        <v>#REF!</v>
      </c>
      <c r="AC188" s="148"/>
      <c r="AD188" s="153">
        <v>46137.0</v>
      </c>
      <c r="AE188" s="148"/>
      <c r="AF188" s="47">
        <v>109826.0</v>
      </c>
      <c r="AG188" s="148" t="s">
        <v>1204</v>
      </c>
      <c r="AH188" s="148"/>
      <c r="AI188" s="148" t="s">
        <v>1202</v>
      </c>
      <c r="AJ188" s="148" t="e">
        <v>#REF!</v>
      </c>
      <c r="AK188" s="148" t="e">
        <v>#REF!</v>
      </c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</row>
    <row r="189" ht="14.25" customHeight="1">
      <c r="A189" s="152" t="s">
        <v>13</v>
      </c>
      <c r="B189" s="135" t="s">
        <v>1205</v>
      </c>
      <c r="C189" s="77">
        <v>46139.0</v>
      </c>
      <c r="D189" s="161">
        <v>109827.0</v>
      </c>
      <c r="E189" s="60">
        <v>26.10442</v>
      </c>
      <c r="F189" s="60">
        <v>26.35592</v>
      </c>
      <c r="G189" s="62" t="s">
        <v>1206</v>
      </c>
      <c r="H189" s="160" t="s">
        <v>106</v>
      </c>
      <c r="I189" s="155">
        <v>1.0</v>
      </c>
      <c r="J189" s="85">
        <v>4.57</v>
      </c>
      <c r="K189" s="80" t="s">
        <v>188</v>
      </c>
      <c r="L189" s="66" t="s">
        <v>1207</v>
      </c>
      <c r="M189" s="156">
        <v>2.0</v>
      </c>
      <c r="N189" s="157">
        <v>0.057</v>
      </c>
      <c r="O189" s="87">
        <v>4.5586</v>
      </c>
      <c r="P189" s="142" t="s">
        <v>298</v>
      </c>
      <c r="Q189" s="143" t="s">
        <v>154</v>
      </c>
      <c r="R189" s="74" t="s">
        <v>1038</v>
      </c>
      <c r="S189" s="158"/>
      <c r="T189" s="146">
        <f t="shared" si="11"/>
        <v>192</v>
      </c>
      <c r="U189" s="146">
        <f>round((O189*69)+(10*N189),-1)</f>
        <v>320</v>
      </c>
      <c r="V189" s="147" t="s">
        <v>38</v>
      </c>
      <c r="W189" s="74" t="b">
        <v>1</v>
      </c>
      <c r="X189" s="74" t="b">
        <v>0</v>
      </c>
      <c r="Y189" s="74" t="b">
        <v>1</v>
      </c>
      <c r="Z189" s="148" t="str">
        <f>IFERROR(__xludf.DUMMYFUNCTION("""COMPUTED_VALUE"""),"#REF!")</f>
        <v>#REF!</v>
      </c>
      <c r="AA189" s="148" t="str">
        <f>IFERROR(__xludf.DUMMYFUNCTION("""COMPUTED_VALUE"""),"#REF!")</f>
        <v>#REF!</v>
      </c>
      <c r="AB189" s="148" t="str">
        <f>IFERROR(__xludf.DUMMYFUNCTION("""COMPUTED_VALUE"""),"#REF!")</f>
        <v>#REF!</v>
      </c>
      <c r="AC189" s="148"/>
      <c r="AD189" s="153">
        <v>46139.0</v>
      </c>
      <c r="AE189" s="148"/>
      <c r="AF189" s="47">
        <v>109827.0</v>
      </c>
      <c r="AG189" s="148" t="s">
        <v>1208</v>
      </c>
      <c r="AH189" s="148"/>
      <c r="AI189" s="148" t="s">
        <v>1206</v>
      </c>
      <c r="AJ189" s="148" t="e">
        <v>#REF!</v>
      </c>
      <c r="AK189" s="148" t="e">
        <v>#REF!</v>
      </c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</row>
    <row r="190" ht="14.25" customHeight="1">
      <c r="A190" s="152" t="s">
        <v>13</v>
      </c>
      <c r="B190" s="135" t="s">
        <v>1205</v>
      </c>
      <c r="C190" s="77">
        <v>46139.0</v>
      </c>
      <c r="D190" s="161">
        <v>109828.0</v>
      </c>
      <c r="E190" s="60">
        <v>26.10654</v>
      </c>
      <c r="F190" s="60">
        <v>26.36325</v>
      </c>
      <c r="G190" s="62" t="s">
        <v>1209</v>
      </c>
      <c r="H190" s="63" t="s">
        <v>45</v>
      </c>
      <c r="I190" s="155">
        <v>1.0</v>
      </c>
      <c r="J190" s="85">
        <v>2.71</v>
      </c>
      <c r="K190" s="80" t="s">
        <v>63</v>
      </c>
      <c r="L190" s="66" t="s">
        <v>1210</v>
      </c>
      <c r="M190" s="156">
        <v>20.0</v>
      </c>
      <c r="N190" s="157">
        <v>0.667</v>
      </c>
      <c r="O190" s="87">
        <v>2.5766</v>
      </c>
      <c r="P190" s="151" t="s">
        <v>153</v>
      </c>
      <c r="Q190" s="143" t="s">
        <v>154</v>
      </c>
      <c r="R190" s="74" t="s">
        <v>1038</v>
      </c>
      <c r="S190" s="158"/>
      <c r="T190" s="146">
        <f t="shared" si="11"/>
        <v>360</v>
      </c>
      <c r="U190" s="146">
        <f t="shared" ref="U190:U192" si="28">round((O190*89)+(550*N190),-1)</f>
        <v>600</v>
      </c>
      <c r="V190" s="147" t="s">
        <v>38</v>
      </c>
      <c r="W190" s="74" t="b">
        <v>1</v>
      </c>
      <c r="X190" s="74" t="b">
        <v>0</v>
      </c>
      <c r="Y190" s="74" t="b">
        <v>1</v>
      </c>
      <c r="Z190" s="148" t="str">
        <f>IFERROR(__xludf.DUMMYFUNCTION("""COMPUTED_VALUE"""),"#REF!")</f>
        <v>#REF!</v>
      </c>
      <c r="AA190" s="148" t="str">
        <f>IFERROR(__xludf.DUMMYFUNCTION("""COMPUTED_VALUE"""),"#REF!")</f>
        <v>#REF!</v>
      </c>
      <c r="AB190" s="148" t="str">
        <f>IFERROR(__xludf.DUMMYFUNCTION("""COMPUTED_VALUE"""),"#REF!")</f>
        <v>#REF!</v>
      </c>
      <c r="AC190" s="148"/>
      <c r="AD190" s="153">
        <v>46139.0</v>
      </c>
      <c r="AE190" s="148"/>
      <c r="AF190" s="47">
        <v>109828.0</v>
      </c>
      <c r="AG190" s="148" t="s">
        <v>1211</v>
      </c>
      <c r="AH190" s="148"/>
      <c r="AI190" s="148" t="s">
        <v>1209</v>
      </c>
      <c r="AJ190" s="148" t="e">
        <v>#REF!</v>
      </c>
      <c r="AK190" s="148" t="e">
        <v>#REF!</v>
      </c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</row>
    <row r="191" ht="14.25" customHeight="1">
      <c r="A191" s="152" t="s">
        <v>13</v>
      </c>
      <c r="B191" s="135" t="s">
        <v>1205</v>
      </c>
      <c r="C191" s="77">
        <v>46139.0</v>
      </c>
      <c r="D191" s="161">
        <v>109829.0</v>
      </c>
      <c r="E191" s="60">
        <v>26.10648</v>
      </c>
      <c r="F191" s="159">
        <v>26.3619</v>
      </c>
      <c r="G191" s="62" t="s">
        <v>1212</v>
      </c>
      <c r="H191" s="63" t="s">
        <v>45</v>
      </c>
      <c r="I191" s="155">
        <v>1.0</v>
      </c>
      <c r="J191" s="85">
        <v>22.24</v>
      </c>
      <c r="K191" s="80" t="s">
        <v>160</v>
      </c>
      <c r="L191" s="66" t="s">
        <v>1213</v>
      </c>
      <c r="M191" s="156"/>
      <c r="N191" s="157"/>
      <c r="O191" s="87">
        <v>22.24</v>
      </c>
      <c r="P191" s="151" t="s">
        <v>153</v>
      </c>
      <c r="Q191" s="143" t="s">
        <v>154</v>
      </c>
      <c r="R191" s="74" t="s">
        <v>1038</v>
      </c>
      <c r="S191" s="158"/>
      <c r="T191" s="146">
        <f t="shared" si="11"/>
        <v>1188</v>
      </c>
      <c r="U191" s="146">
        <f t="shared" si="28"/>
        <v>1980</v>
      </c>
      <c r="V191" s="147" t="s">
        <v>38</v>
      </c>
      <c r="W191" s="74" t="b">
        <v>0</v>
      </c>
      <c r="X191" s="74" t="b">
        <v>0</v>
      </c>
      <c r="Y191" s="74" t="b">
        <v>1</v>
      </c>
      <c r="Z191" s="148" t="str">
        <f>IFERROR(__xludf.DUMMYFUNCTION("""COMPUTED_VALUE"""),"#REF!")</f>
        <v>#REF!</v>
      </c>
      <c r="AA191" s="148" t="str">
        <f>IFERROR(__xludf.DUMMYFUNCTION("""COMPUTED_VALUE"""),"#REF!")</f>
        <v>#REF!</v>
      </c>
      <c r="AB191" s="148" t="str">
        <f>IFERROR(__xludf.DUMMYFUNCTION("""COMPUTED_VALUE"""),"#REF!")</f>
        <v>#REF!</v>
      </c>
      <c r="AC191" s="148"/>
      <c r="AD191" s="153">
        <v>46139.0</v>
      </c>
      <c r="AE191" s="148"/>
      <c r="AF191" s="47">
        <v>109829.0</v>
      </c>
      <c r="AG191" s="148" t="s">
        <v>1214</v>
      </c>
      <c r="AH191" s="148"/>
      <c r="AI191" s="148" t="s">
        <v>1212</v>
      </c>
      <c r="AJ191" s="148" t="e">
        <v>#REF!</v>
      </c>
      <c r="AK191" s="148" t="e">
        <v>#REF!</v>
      </c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</row>
    <row r="192" ht="14.25" customHeight="1">
      <c r="A192" s="152" t="s">
        <v>13</v>
      </c>
      <c r="B192" s="135" t="s">
        <v>1205</v>
      </c>
      <c r="C192" s="77">
        <v>46139.0</v>
      </c>
      <c r="D192" s="161">
        <v>109830.0</v>
      </c>
      <c r="E192" s="60">
        <v>26.10594</v>
      </c>
      <c r="F192" s="60">
        <v>26.36057</v>
      </c>
      <c r="G192" s="62" t="s">
        <v>1215</v>
      </c>
      <c r="H192" s="63" t="s">
        <v>34</v>
      </c>
      <c r="I192" s="155">
        <v>1.0</v>
      </c>
      <c r="J192" s="85">
        <v>28.56</v>
      </c>
      <c r="K192" s="80" t="s">
        <v>273</v>
      </c>
      <c r="L192" s="66" t="s">
        <v>1216</v>
      </c>
      <c r="M192" s="156"/>
      <c r="N192" s="157"/>
      <c r="O192" s="87">
        <v>28.56</v>
      </c>
      <c r="P192" s="151" t="s">
        <v>153</v>
      </c>
      <c r="Q192" s="143" t="s">
        <v>154</v>
      </c>
      <c r="R192" s="74" t="s">
        <v>1038</v>
      </c>
      <c r="S192" s="158"/>
      <c r="T192" s="146">
        <f t="shared" si="11"/>
        <v>1524</v>
      </c>
      <c r="U192" s="146">
        <f t="shared" si="28"/>
        <v>2540</v>
      </c>
      <c r="V192" s="147" t="s">
        <v>38</v>
      </c>
      <c r="W192" s="74" t="b">
        <v>0</v>
      </c>
      <c r="X192" s="74" t="b">
        <v>0</v>
      </c>
      <c r="Y192" s="74" t="b">
        <v>1</v>
      </c>
      <c r="Z192" s="148" t="str">
        <f>IFERROR(__xludf.DUMMYFUNCTION("""COMPUTED_VALUE"""),"#REF!")</f>
        <v>#REF!</v>
      </c>
      <c r="AA192" s="148" t="str">
        <f>IFERROR(__xludf.DUMMYFUNCTION("""COMPUTED_VALUE"""),"#REF!")</f>
        <v>#REF!</v>
      </c>
      <c r="AB192" s="148" t="str">
        <f>IFERROR(__xludf.DUMMYFUNCTION("""COMPUTED_VALUE"""),"#REF!")</f>
        <v>#REF!</v>
      </c>
      <c r="AC192" s="148"/>
      <c r="AD192" s="153">
        <v>46139.0</v>
      </c>
      <c r="AE192" s="148"/>
      <c r="AF192" s="47">
        <v>109830.0</v>
      </c>
      <c r="AG192" s="148" t="s">
        <v>1217</v>
      </c>
      <c r="AH192" s="148"/>
      <c r="AI192" s="148" t="s">
        <v>1215</v>
      </c>
      <c r="AJ192" s="148" t="e">
        <v>#REF!</v>
      </c>
      <c r="AK192" s="148" t="e">
        <v>#REF!</v>
      </c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</row>
    <row r="193" ht="14.25" customHeight="1">
      <c r="A193" s="152" t="s">
        <v>13</v>
      </c>
      <c r="B193" s="135" t="s">
        <v>1205</v>
      </c>
      <c r="C193" s="77">
        <v>46139.0</v>
      </c>
      <c r="D193" s="161">
        <v>109831.0</v>
      </c>
      <c r="E193" s="60">
        <v>26.10653</v>
      </c>
      <c r="F193" s="60">
        <v>26.36241</v>
      </c>
      <c r="G193" s="62" t="s">
        <v>1218</v>
      </c>
      <c r="H193" s="160" t="s">
        <v>304</v>
      </c>
      <c r="I193" s="155">
        <v>1.0</v>
      </c>
      <c r="J193" s="85">
        <v>5.23</v>
      </c>
      <c r="K193" s="80" t="s">
        <v>305</v>
      </c>
      <c r="L193" s="66" t="s">
        <v>1219</v>
      </c>
      <c r="M193" s="156"/>
      <c r="N193" s="157"/>
      <c r="O193" s="87">
        <v>5.23</v>
      </c>
      <c r="P193" s="151" t="s">
        <v>153</v>
      </c>
      <c r="Q193" s="143" t="s">
        <v>154</v>
      </c>
      <c r="R193" s="74" t="s">
        <v>1038</v>
      </c>
      <c r="S193" s="158"/>
      <c r="T193" s="146">
        <f t="shared" si="11"/>
        <v>372</v>
      </c>
      <c r="U193" s="146">
        <f t="shared" ref="U193:U194" si="29">round((O193*119)+(550*N193),-1)</f>
        <v>620</v>
      </c>
      <c r="V193" s="147" t="s">
        <v>38</v>
      </c>
      <c r="W193" s="74" t="b">
        <v>0</v>
      </c>
      <c r="X193" s="74" t="b">
        <v>0</v>
      </c>
      <c r="Y193" s="74" t="b">
        <v>1</v>
      </c>
      <c r="Z193" s="148" t="str">
        <f>IFERROR(__xludf.DUMMYFUNCTION("""COMPUTED_VALUE"""),"#REF!")</f>
        <v>#REF!</v>
      </c>
      <c r="AA193" s="148" t="str">
        <f>IFERROR(__xludf.DUMMYFUNCTION("""COMPUTED_VALUE"""),"#REF!")</f>
        <v>#REF!</v>
      </c>
      <c r="AB193" s="148" t="str">
        <f>IFERROR(__xludf.DUMMYFUNCTION("""COMPUTED_VALUE"""),"#REF!")</f>
        <v>#REF!</v>
      </c>
      <c r="AC193" s="148"/>
      <c r="AD193" s="153">
        <v>46139.0</v>
      </c>
      <c r="AE193" s="148"/>
      <c r="AF193" s="47">
        <v>109831.0</v>
      </c>
      <c r="AG193" s="148" t="s">
        <v>1220</v>
      </c>
      <c r="AH193" s="148"/>
      <c r="AI193" s="148" t="s">
        <v>1218</v>
      </c>
      <c r="AJ193" s="148" t="e">
        <v>#REF!</v>
      </c>
      <c r="AK193" s="148" t="e">
        <v>#REF!</v>
      </c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</row>
    <row r="194" ht="14.25" customHeight="1">
      <c r="A194" s="152" t="s">
        <v>13</v>
      </c>
      <c r="B194" s="135" t="s">
        <v>1205</v>
      </c>
      <c r="C194" s="77">
        <v>46139.0</v>
      </c>
      <c r="D194" s="161">
        <v>109832.0</v>
      </c>
      <c r="E194" s="60">
        <v>26.10653</v>
      </c>
      <c r="F194" s="60">
        <v>26.36327</v>
      </c>
      <c r="G194" s="62" t="s">
        <v>1221</v>
      </c>
      <c r="H194" s="160" t="s">
        <v>304</v>
      </c>
      <c r="I194" s="155">
        <v>1.0</v>
      </c>
      <c r="J194" s="85">
        <v>5.29</v>
      </c>
      <c r="K194" s="80" t="s">
        <v>305</v>
      </c>
      <c r="L194" s="66" t="s">
        <v>1222</v>
      </c>
      <c r="M194" s="156"/>
      <c r="N194" s="157"/>
      <c r="O194" s="87">
        <v>5.29</v>
      </c>
      <c r="P194" s="151" t="s">
        <v>153</v>
      </c>
      <c r="Q194" s="143" t="s">
        <v>154</v>
      </c>
      <c r="R194" s="74" t="s">
        <v>1038</v>
      </c>
      <c r="S194" s="158"/>
      <c r="T194" s="146">
        <f t="shared" si="11"/>
        <v>378</v>
      </c>
      <c r="U194" s="146">
        <f t="shared" si="29"/>
        <v>630</v>
      </c>
      <c r="V194" s="147" t="s">
        <v>38</v>
      </c>
      <c r="W194" s="74" t="b">
        <v>0</v>
      </c>
      <c r="X194" s="74" t="b">
        <v>0</v>
      </c>
      <c r="Y194" s="74" t="b">
        <v>1</v>
      </c>
      <c r="Z194" s="148" t="str">
        <f>IFERROR(__xludf.DUMMYFUNCTION("""COMPUTED_VALUE"""),"#REF!")</f>
        <v>#REF!</v>
      </c>
      <c r="AA194" s="148" t="str">
        <f>IFERROR(__xludf.DUMMYFUNCTION("""COMPUTED_VALUE"""),"#REF!")</f>
        <v>#REF!</v>
      </c>
      <c r="AB194" s="148" t="str">
        <f>IFERROR(__xludf.DUMMYFUNCTION("""COMPUTED_VALUE"""),"#REF!")</f>
        <v>#REF!</v>
      </c>
      <c r="AC194" s="148"/>
      <c r="AD194" s="153">
        <v>46139.0</v>
      </c>
      <c r="AE194" s="148"/>
      <c r="AF194" s="47">
        <v>109832.0</v>
      </c>
      <c r="AG194" s="148" t="s">
        <v>1223</v>
      </c>
      <c r="AH194" s="148"/>
      <c r="AI194" s="148" t="s">
        <v>1221</v>
      </c>
      <c r="AJ194" s="148" t="e">
        <v>#REF!</v>
      </c>
      <c r="AK194" s="148" t="e">
        <v>#REF!</v>
      </c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</row>
    <row r="195" ht="14.25" customHeight="1">
      <c r="A195" s="152" t="s">
        <v>13</v>
      </c>
      <c r="B195" s="135" t="s">
        <v>823</v>
      </c>
      <c r="C195" s="58">
        <v>46139.0</v>
      </c>
      <c r="D195" s="166"/>
      <c r="E195" s="60" t="s">
        <v>1224</v>
      </c>
      <c r="F195" s="60"/>
      <c r="G195" s="62" t="s">
        <v>1225</v>
      </c>
      <c r="H195" s="63" t="s">
        <v>551</v>
      </c>
      <c r="I195" s="138">
        <v>5.0</v>
      </c>
      <c r="J195" s="63">
        <v>28.96</v>
      </c>
      <c r="K195" s="80" t="s">
        <v>160</v>
      </c>
      <c r="L195" s="66" t="s">
        <v>1226</v>
      </c>
      <c r="M195" s="81"/>
      <c r="N195" s="167"/>
      <c r="O195" s="69">
        <f t="shared" ref="O195:O199" si="30">J195-(N195*0.2)</f>
        <v>28.96</v>
      </c>
      <c r="P195" s="142" t="s">
        <v>162</v>
      </c>
      <c r="Q195" s="143" t="s">
        <v>163</v>
      </c>
      <c r="R195" s="74"/>
      <c r="S195" s="158"/>
      <c r="T195" s="146">
        <f t="shared" si="11"/>
        <v>1548</v>
      </c>
      <c r="U195" s="146">
        <f t="shared" ref="U195:U202" si="31">round((O195*89)+(550*N195),-1)</f>
        <v>2580</v>
      </c>
      <c r="V195" s="147" t="s">
        <v>84</v>
      </c>
      <c r="W195" s="74" t="b">
        <v>0</v>
      </c>
      <c r="X195" s="74" t="b">
        <v>0</v>
      </c>
      <c r="Y195" s="74" t="b">
        <v>1</v>
      </c>
      <c r="Z195" s="148" t="str">
        <f>IFERROR(__xludf.DUMMYFUNCTION("""COMPUTED_VALUE"""),"#REF!")</f>
        <v>#REF!</v>
      </c>
      <c r="AA195" s="148" t="str">
        <f>IFERROR(__xludf.DUMMYFUNCTION("""COMPUTED_VALUE"""),"#REF!")</f>
        <v>#REF!</v>
      </c>
      <c r="AB195" s="148" t="str">
        <f>IFERROR(__xludf.DUMMYFUNCTION("""COMPUTED_VALUE"""),"#REF!")</f>
        <v>#REF!</v>
      </c>
      <c r="AC195" s="148"/>
      <c r="AD195" s="149">
        <v>46139.0</v>
      </c>
      <c r="AE195" s="148"/>
      <c r="AF195" s="148"/>
      <c r="AG195" s="148" t="s">
        <v>1227</v>
      </c>
      <c r="AH195" s="148"/>
      <c r="AI195" s="148" t="s">
        <v>1225</v>
      </c>
      <c r="AJ195" s="148" t="e">
        <v>#REF!</v>
      </c>
      <c r="AK195" s="148" t="e">
        <v>#REF!</v>
      </c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</row>
    <row r="196" ht="14.25" customHeight="1">
      <c r="A196" s="152" t="s">
        <v>13</v>
      </c>
      <c r="B196" s="135" t="s">
        <v>823</v>
      </c>
      <c r="C196" s="58">
        <v>46139.0</v>
      </c>
      <c r="D196" s="166"/>
      <c r="E196" s="60" t="s">
        <v>1224</v>
      </c>
      <c r="F196" s="60"/>
      <c r="G196" s="62" t="s">
        <v>1228</v>
      </c>
      <c r="H196" s="63" t="s">
        <v>551</v>
      </c>
      <c r="I196" s="138">
        <v>2.0</v>
      </c>
      <c r="J196" s="63">
        <v>13.73</v>
      </c>
      <c r="K196" s="80" t="s">
        <v>160</v>
      </c>
      <c r="L196" s="66" t="s">
        <v>1229</v>
      </c>
      <c r="M196" s="81"/>
      <c r="N196" s="167"/>
      <c r="O196" s="69">
        <f t="shared" si="30"/>
        <v>13.73</v>
      </c>
      <c r="P196" s="142" t="s">
        <v>162</v>
      </c>
      <c r="Q196" s="143" t="s">
        <v>154</v>
      </c>
      <c r="R196" s="74" t="s">
        <v>179</v>
      </c>
      <c r="S196" s="158"/>
      <c r="T196" s="146">
        <f t="shared" si="11"/>
        <v>732</v>
      </c>
      <c r="U196" s="146">
        <f t="shared" si="31"/>
        <v>1220</v>
      </c>
      <c r="V196" s="147" t="s">
        <v>84</v>
      </c>
      <c r="W196" s="74" t="b">
        <v>0</v>
      </c>
      <c r="X196" s="74" t="b">
        <v>0</v>
      </c>
      <c r="Y196" s="74" t="b">
        <v>1</v>
      </c>
      <c r="Z196" s="148" t="str">
        <f>IFERROR(__xludf.DUMMYFUNCTION("""COMPUTED_VALUE"""),"#REF!")</f>
        <v>#REF!</v>
      </c>
      <c r="AA196" s="148" t="str">
        <f>IFERROR(__xludf.DUMMYFUNCTION("""COMPUTED_VALUE"""),"#REF!")</f>
        <v>#REF!</v>
      </c>
      <c r="AB196" s="148" t="str">
        <f>IFERROR(__xludf.DUMMYFUNCTION("""COMPUTED_VALUE"""),"#REF!")</f>
        <v>#REF!</v>
      </c>
      <c r="AC196" s="148"/>
      <c r="AD196" s="149">
        <v>46139.0</v>
      </c>
      <c r="AE196" s="148"/>
      <c r="AF196" s="148"/>
      <c r="AG196" s="148" t="s">
        <v>1227</v>
      </c>
      <c r="AH196" s="148"/>
      <c r="AI196" s="148" t="s">
        <v>1228</v>
      </c>
      <c r="AJ196" s="148" t="e">
        <v>#REF!</v>
      </c>
      <c r="AK196" s="148" t="e">
        <v>#REF!</v>
      </c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</row>
    <row r="197" ht="14.25" customHeight="1">
      <c r="A197" s="152" t="s">
        <v>13</v>
      </c>
      <c r="B197" s="135" t="s">
        <v>823</v>
      </c>
      <c r="C197" s="58">
        <v>46139.0</v>
      </c>
      <c r="D197" s="166"/>
      <c r="E197" s="60" t="s">
        <v>1230</v>
      </c>
      <c r="F197" s="60"/>
      <c r="G197" s="62" t="s">
        <v>1231</v>
      </c>
      <c r="H197" s="63" t="s">
        <v>551</v>
      </c>
      <c r="I197" s="138">
        <v>11.0</v>
      </c>
      <c r="J197" s="63">
        <v>6.26</v>
      </c>
      <c r="K197" s="80" t="s">
        <v>314</v>
      </c>
      <c r="L197" s="66" t="s">
        <v>1232</v>
      </c>
      <c r="M197" s="81"/>
      <c r="N197" s="167"/>
      <c r="O197" s="69">
        <f t="shared" si="30"/>
        <v>6.26</v>
      </c>
      <c r="P197" s="142" t="s">
        <v>162</v>
      </c>
      <c r="Q197" s="143" t="s">
        <v>154</v>
      </c>
      <c r="R197" s="74" t="s">
        <v>495</v>
      </c>
      <c r="S197" s="158"/>
      <c r="T197" s="146">
        <f t="shared" si="11"/>
        <v>336</v>
      </c>
      <c r="U197" s="146">
        <f t="shared" si="31"/>
        <v>560</v>
      </c>
      <c r="V197" s="147" t="s">
        <v>84</v>
      </c>
      <c r="W197" s="74" t="b">
        <v>0</v>
      </c>
      <c r="X197" s="74" t="b">
        <v>0</v>
      </c>
      <c r="Y197" s="74" t="b">
        <v>1</v>
      </c>
      <c r="Z197" s="148" t="str">
        <f>IFERROR(__xludf.DUMMYFUNCTION("""COMPUTED_VALUE"""),"#REF!")</f>
        <v>#REF!</v>
      </c>
      <c r="AA197" s="148" t="str">
        <f>IFERROR(__xludf.DUMMYFUNCTION("""COMPUTED_VALUE"""),"#REF!")</f>
        <v>#REF!</v>
      </c>
      <c r="AB197" s="148" t="str">
        <f>IFERROR(__xludf.DUMMYFUNCTION("""COMPUTED_VALUE"""),"#REF!")</f>
        <v>#REF!</v>
      </c>
      <c r="AC197" s="148"/>
      <c r="AD197" s="149">
        <v>46139.0</v>
      </c>
      <c r="AE197" s="148"/>
      <c r="AF197" s="148"/>
      <c r="AG197" s="148" t="s">
        <v>1233</v>
      </c>
      <c r="AH197" s="148"/>
      <c r="AI197" s="148" t="s">
        <v>1231</v>
      </c>
      <c r="AJ197" s="148" t="e">
        <v>#REF!</v>
      </c>
      <c r="AK197" s="148" t="e">
        <v>#REF!</v>
      </c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</row>
    <row r="198" ht="14.25" customHeight="1">
      <c r="A198" s="152" t="s">
        <v>13</v>
      </c>
      <c r="B198" s="135" t="s">
        <v>823</v>
      </c>
      <c r="C198" s="58">
        <v>46139.0</v>
      </c>
      <c r="D198" s="166"/>
      <c r="E198" s="60" t="s">
        <v>1230</v>
      </c>
      <c r="F198" s="60"/>
      <c r="G198" s="62" t="s">
        <v>1234</v>
      </c>
      <c r="H198" s="63" t="s">
        <v>76</v>
      </c>
      <c r="I198" s="138">
        <v>13.0</v>
      </c>
      <c r="J198" s="63">
        <v>7.52</v>
      </c>
      <c r="K198" s="80" t="s">
        <v>314</v>
      </c>
      <c r="L198" s="66" t="s">
        <v>1235</v>
      </c>
      <c r="M198" s="81"/>
      <c r="N198" s="167"/>
      <c r="O198" s="69">
        <f t="shared" si="30"/>
        <v>7.52</v>
      </c>
      <c r="P198" s="142" t="s">
        <v>162</v>
      </c>
      <c r="Q198" s="143" t="s">
        <v>154</v>
      </c>
      <c r="R198" s="74" t="s">
        <v>495</v>
      </c>
      <c r="S198" s="158"/>
      <c r="T198" s="146">
        <f t="shared" si="11"/>
        <v>402</v>
      </c>
      <c r="U198" s="146">
        <f t="shared" si="31"/>
        <v>670</v>
      </c>
      <c r="V198" s="147" t="s">
        <v>84</v>
      </c>
      <c r="W198" s="74" t="b">
        <v>0</v>
      </c>
      <c r="X198" s="74" t="b">
        <v>0</v>
      </c>
      <c r="Y198" s="74" t="b">
        <v>1</v>
      </c>
      <c r="Z198" s="148" t="str">
        <f>IFERROR(__xludf.DUMMYFUNCTION("""COMPUTED_VALUE"""),"#REF!")</f>
        <v>#REF!</v>
      </c>
      <c r="AA198" s="148" t="str">
        <f>IFERROR(__xludf.DUMMYFUNCTION("""COMPUTED_VALUE"""),"#REF!")</f>
        <v>#REF!</v>
      </c>
      <c r="AB198" s="148" t="str">
        <f>IFERROR(__xludf.DUMMYFUNCTION("""COMPUTED_VALUE"""),"#REF!")</f>
        <v>#REF!</v>
      </c>
      <c r="AC198" s="148"/>
      <c r="AD198" s="149">
        <v>46139.0</v>
      </c>
      <c r="AE198" s="148"/>
      <c r="AF198" s="148"/>
      <c r="AG198" s="148" t="s">
        <v>1233</v>
      </c>
      <c r="AH198" s="148"/>
      <c r="AI198" s="148" t="s">
        <v>1234</v>
      </c>
      <c r="AJ198" s="148" t="e">
        <v>#REF!</v>
      </c>
      <c r="AK198" s="148" t="e">
        <v>#REF!</v>
      </c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</row>
    <row r="199" ht="14.25" customHeight="1">
      <c r="A199" s="152" t="s">
        <v>13</v>
      </c>
      <c r="B199" s="135" t="s">
        <v>823</v>
      </c>
      <c r="C199" s="58">
        <v>46139.0</v>
      </c>
      <c r="D199" s="166"/>
      <c r="E199" s="60" t="s">
        <v>1236</v>
      </c>
      <c r="F199" s="60"/>
      <c r="G199" s="62" t="s">
        <v>1237</v>
      </c>
      <c r="H199" s="63" t="s">
        <v>551</v>
      </c>
      <c r="I199" s="138">
        <v>17.0</v>
      </c>
      <c r="J199" s="63">
        <v>68.45</v>
      </c>
      <c r="K199" s="80" t="s">
        <v>77</v>
      </c>
      <c r="L199" s="66" t="s">
        <v>1238</v>
      </c>
      <c r="M199" s="81"/>
      <c r="N199" s="167"/>
      <c r="O199" s="69">
        <f t="shared" si="30"/>
        <v>68.45</v>
      </c>
      <c r="P199" s="142" t="s">
        <v>162</v>
      </c>
      <c r="Q199" s="143" t="s">
        <v>163</v>
      </c>
      <c r="R199" s="74"/>
      <c r="S199" s="158"/>
      <c r="T199" s="146">
        <f t="shared" si="11"/>
        <v>3654</v>
      </c>
      <c r="U199" s="146">
        <f t="shared" si="31"/>
        <v>6090</v>
      </c>
      <c r="V199" s="147" t="s">
        <v>84</v>
      </c>
      <c r="W199" s="74" t="b">
        <v>0</v>
      </c>
      <c r="X199" s="74" t="b">
        <v>0</v>
      </c>
      <c r="Y199" s="74" t="b">
        <v>1</v>
      </c>
      <c r="Z199" s="148" t="str">
        <f>IFERROR(__xludf.DUMMYFUNCTION("""COMPUTED_VALUE"""),"#REF!")</f>
        <v>#REF!</v>
      </c>
      <c r="AA199" s="148" t="str">
        <f>IFERROR(__xludf.DUMMYFUNCTION("""COMPUTED_VALUE"""),"#REF!")</f>
        <v>#REF!</v>
      </c>
      <c r="AB199" s="148" t="str">
        <f>IFERROR(__xludf.DUMMYFUNCTION("""COMPUTED_VALUE"""),"#REF!")</f>
        <v>#REF!</v>
      </c>
      <c r="AC199" s="148"/>
      <c r="AD199" s="149">
        <v>46139.0</v>
      </c>
      <c r="AE199" s="148"/>
      <c r="AF199" s="148"/>
      <c r="AG199" s="148" t="s">
        <v>1239</v>
      </c>
      <c r="AH199" s="148"/>
      <c r="AI199" s="148" t="s">
        <v>1237</v>
      </c>
      <c r="AJ199" s="148" t="e">
        <v>#REF!</v>
      </c>
      <c r="AK199" s="148" t="e">
        <v>#REF!</v>
      </c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</row>
    <row r="200" ht="14.25" customHeight="1">
      <c r="A200" s="152" t="s">
        <v>13</v>
      </c>
      <c r="B200" s="135" t="s">
        <v>1240</v>
      </c>
      <c r="C200" s="77">
        <v>46140.0</v>
      </c>
      <c r="D200" s="161">
        <v>109833.0</v>
      </c>
      <c r="E200" s="60">
        <v>26.10641</v>
      </c>
      <c r="F200" s="60">
        <v>26.36178</v>
      </c>
      <c r="G200" s="62" t="s">
        <v>1241</v>
      </c>
      <c r="H200" s="160" t="s">
        <v>1242</v>
      </c>
      <c r="I200" s="155">
        <v>1.0</v>
      </c>
      <c r="J200" s="85">
        <v>9.85</v>
      </c>
      <c r="K200" s="80" t="s">
        <v>1243</v>
      </c>
      <c r="L200" s="66" t="s">
        <v>1244</v>
      </c>
      <c r="M200" s="156"/>
      <c r="N200" s="157"/>
      <c r="O200" s="87">
        <v>9.85</v>
      </c>
      <c r="P200" s="151" t="s">
        <v>153</v>
      </c>
      <c r="Q200" s="143" t="s">
        <v>154</v>
      </c>
      <c r="R200" s="74" t="s">
        <v>1038</v>
      </c>
      <c r="S200" s="158"/>
      <c r="T200" s="146">
        <f t="shared" si="11"/>
        <v>528</v>
      </c>
      <c r="U200" s="146">
        <f t="shared" si="31"/>
        <v>880</v>
      </c>
      <c r="V200" s="147" t="s">
        <v>38</v>
      </c>
      <c r="W200" s="74" t="b">
        <v>0</v>
      </c>
      <c r="X200" s="74" t="b">
        <v>0</v>
      </c>
      <c r="Y200" s="74" t="b">
        <v>1</v>
      </c>
      <c r="Z200" s="148" t="str">
        <f>IFERROR(__xludf.DUMMYFUNCTION("""COMPUTED_VALUE"""),"#REF!")</f>
        <v>#REF!</v>
      </c>
      <c r="AA200" s="148" t="str">
        <f>IFERROR(__xludf.DUMMYFUNCTION("""COMPUTED_VALUE"""),"#REF!")</f>
        <v>#REF!</v>
      </c>
      <c r="AB200" s="148" t="str">
        <f>IFERROR(__xludf.DUMMYFUNCTION("""COMPUTED_VALUE"""),"#REF!")</f>
        <v>#REF!</v>
      </c>
      <c r="AC200" s="148"/>
      <c r="AD200" s="153">
        <v>46140.0</v>
      </c>
      <c r="AE200" s="148"/>
      <c r="AF200" s="47">
        <v>109833.0</v>
      </c>
      <c r="AG200" s="148" t="s">
        <v>1245</v>
      </c>
      <c r="AH200" s="148"/>
      <c r="AI200" s="148" t="s">
        <v>1241</v>
      </c>
      <c r="AJ200" s="148" t="e">
        <v>#REF!</v>
      </c>
      <c r="AK200" s="148" t="e">
        <v>#REF!</v>
      </c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</row>
    <row r="201" ht="14.25" customHeight="1">
      <c r="A201" s="152" t="s">
        <v>13</v>
      </c>
      <c r="B201" s="135" t="s">
        <v>1246</v>
      </c>
      <c r="C201" s="77">
        <v>46140.0</v>
      </c>
      <c r="D201" s="161">
        <v>109834.0</v>
      </c>
      <c r="E201" s="60">
        <v>26.10584</v>
      </c>
      <c r="F201" s="60">
        <v>26.36046</v>
      </c>
      <c r="G201" s="62" t="s">
        <v>1247</v>
      </c>
      <c r="H201" s="63" t="s">
        <v>45</v>
      </c>
      <c r="I201" s="138">
        <v>1.0</v>
      </c>
      <c r="J201" s="79">
        <v>45.9</v>
      </c>
      <c r="K201" s="80" t="s">
        <v>77</v>
      </c>
      <c r="L201" s="66" t="s">
        <v>1248</v>
      </c>
      <c r="M201" s="81"/>
      <c r="N201" s="167"/>
      <c r="O201" s="69">
        <v>45.9</v>
      </c>
      <c r="P201" s="151" t="s">
        <v>153</v>
      </c>
      <c r="Q201" s="143" t="s">
        <v>154</v>
      </c>
      <c r="R201" s="74" t="s">
        <v>155</v>
      </c>
      <c r="S201" s="158"/>
      <c r="T201" s="146">
        <f t="shared" si="11"/>
        <v>2454</v>
      </c>
      <c r="U201" s="146">
        <f t="shared" si="31"/>
        <v>4090</v>
      </c>
      <c r="V201" s="147" t="s">
        <v>38</v>
      </c>
      <c r="W201" s="74" t="b">
        <v>0</v>
      </c>
      <c r="X201" s="74" t="b">
        <v>0</v>
      </c>
      <c r="Y201" s="74" t="b">
        <v>1</v>
      </c>
      <c r="Z201" s="148" t="str">
        <f>IFERROR(__xludf.DUMMYFUNCTION("""COMPUTED_VALUE"""),"#REF!")</f>
        <v>#REF!</v>
      </c>
      <c r="AA201" s="148" t="str">
        <f>IFERROR(__xludf.DUMMYFUNCTION("""COMPUTED_VALUE"""),"#REF!")</f>
        <v>#REF!</v>
      </c>
      <c r="AB201" s="148" t="str">
        <f>IFERROR(__xludf.DUMMYFUNCTION("""COMPUTED_VALUE"""),"#REF!")</f>
        <v>#REF!</v>
      </c>
      <c r="AC201" s="148"/>
      <c r="AD201" s="153">
        <v>46140.0</v>
      </c>
      <c r="AE201" s="148"/>
      <c r="AF201" s="47">
        <v>109834.0</v>
      </c>
      <c r="AG201" s="148" t="s">
        <v>1249</v>
      </c>
      <c r="AH201" s="148"/>
      <c r="AI201" s="148" t="s">
        <v>1247</v>
      </c>
      <c r="AJ201" s="148" t="e">
        <v>#REF!</v>
      </c>
      <c r="AK201" s="148" t="e">
        <v>#REF!</v>
      </c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</row>
    <row r="202" ht="14.25" customHeight="1">
      <c r="A202" s="152" t="s">
        <v>13</v>
      </c>
      <c r="B202" s="135" t="s">
        <v>1246</v>
      </c>
      <c r="C202" s="77">
        <v>46140.0</v>
      </c>
      <c r="D202" s="161">
        <v>109835.0</v>
      </c>
      <c r="E202" s="60">
        <v>26.1063</v>
      </c>
      <c r="F202" s="60">
        <v>26.3617</v>
      </c>
      <c r="G202" s="62" t="s">
        <v>1250</v>
      </c>
      <c r="H202" s="63" t="s">
        <v>34</v>
      </c>
      <c r="I202" s="138">
        <v>1.0</v>
      </c>
      <c r="J202" s="79">
        <v>18.6</v>
      </c>
      <c r="K202" s="80" t="s">
        <v>269</v>
      </c>
      <c r="L202" s="66" t="s">
        <v>1251</v>
      </c>
      <c r="M202" s="81"/>
      <c r="N202" s="167"/>
      <c r="O202" s="69">
        <v>18.6</v>
      </c>
      <c r="P202" s="151" t="s">
        <v>153</v>
      </c>
      <c r="Q202" s="143" t="s">
        <v>154</v>
      </c>
      <c r="R202" s="74" t="s">
        <v>155</v>
      </c>
      <c r="S202" s="158"/>
      <c r="T202" s="146">
        <f t="shared" si="11"/>
        <v>996</v>
      </c>
      <c r="U202" s="146">
        <f t="shared" si="31"/>
        <v>1660</v>
      </c>
      <c r="V202" s="147" t="s">
        <v>38</v>
      </c>
      <c r="W202" s="74" t="b">
        <v>0</v>
      </c>
      <c r="X202" s="74" t="b">
        <v>0</v>
      </c>
      <c r="Y202" s="74" t="b">
        <v>1</v>
      </c>
      <c r="Z202" s="148" t="str">
        <f>IFERROR(__xludf.DUMMYFUNCTION("""COMPUTED_VALUE"""),"#REF!")</f>
        <v>#REF!</v>
      </c>
      <c r="AA202" s="148" t="str">
        <f>IFERROR(__xludf.DUMMYFUNCTION("""COMPUTED_VALUE"""),"#REF!")</f>
        <v>#REF!</v>
      </c>
      <c r="AB202" s="148" t="str">
        <f>IFERROR(__xludf.DUMMYFUNCTION("""COMPUTED_VALUE"""),"#REF!")</f>
        <v>#REF!</v>
      </c>
      <c r="AC202" s="148"/>
      <c r="AD202" s="153">
        <v>46140.0</v>
      </c>
      <c r="AE202" s="148"/>
      <c r="AF202" s="47">
        <v>109835.0</v>
      </c>
      <c r="AG202" s="148" t="s">
        <v>1252</v>
      </c>
      <c r="AH202" s="148"/>
      <c r="AI202" s="148" t="s">
        <v>1250</v>
      </c>
      <c r="AJ202" s="148" t="e">
        <v>#REF!</v>
      </c>
      <c r="AK202" s="148" t="e">
        <v>#REF!</v>
      </c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</row>
    <row r="203" ht="14.25" customHeight="1">
      <c r="A203" s="152" t="s">
        <v>13</v>
      </c>
      <c r="B203" s="135" t="s">
        <v>1246</v>
      </c>
      <c r="C203" s="77">
        <v>46140.0</v>
      </c>
      <c r="D203" s="161">
        <v>109836.0</v>
      </c>
      <c r="E203" s="60">
        <v>26.10536</v>
      </c>
      <c r="F203" s="60">
        <v>26.36379</v>
      </c>
      <c r="G203" s="62" t="s">
        <v>1253</v>
      </c>
      <c r="H203" s="154" t="s">
        <v>1062</v>
      </c>
      <c r="I203" s="138">
        <v>1.0</v>
      </c>
      <c r="J203" s="79">
        <v>2.49</v>
      </c>
      <c r="K203" s="80" t="s">
        <v>188</v>
      </c>
      <c r="L203" s="66" t="s">
        <v>1254</v>
      </c>
      <c r="M203" s="81">
        <v>18.0</v>
      </c>
      <c r="N203" s="167">
        <v>0.089</v>
      </c>
      <c r="O203" s="69">
        <v>2.4722000000000004</v>
      </c>
      <c r="P203" s="151" t="s">
        <v>153</v>
      </c>
      <c r="Q203" s="143" t="s">
        <v>154</v>
      </c>
      <c r="R203" s="74" t="s">
        <v>155</v>
      </c>
      <c r="S203" s="158"/>
      <c r="T203" s="146">
        <f t="shared" si="11"/>
        <v>102</v>
      </c>
      <c r="U203" s="146">
        <f>round((O203*69)+(10*N203),-1)</f>
        <v>170</v>
      </c>
      <c r="V203" s="147" t="s">
        <v>38</v>
      </c>
      <c r="W203" s="74" t="b">
        <v>1</v>
      </c>
      <c r="X203" s="74" t="b">
        <v>0</v>
      </c>
      <c r="Y203" s="74" t="b">
        <v>1</v>
      </c>
      <c r="Z203" s="148" t="str">
        <f>IFERROR(__xludf.DUMMYFUNCTION("""COMPUTED_VALUE"""),"#REF!")</f>
        <v>#REF!</v>
      </c>
      <c r="AA203" s="148" t="str">
        <f>IFERROR(__xludf.DUMMYFUNCTION("""COMPUTED_VALUE"""),"#REF!")</f>
        <v>#REF!</v>
      </c>
      <c r="AB203" s="148" t="str">
        <f>IFERROR(__xludf.DUMMYFUNCTION("""COMPUTED_VALUE"""),"#REF!")</f>
        <v>#REF!</v>
      </c>
      <c r="AC203" s="148"/>
      <c r="AD203" s="153">
        <v>46140.0</v>
      </c>
      <c r="AE203" s="148"/>
      <c r="AF203" s="47">
        <v>109836.0</v>
      </c>
      <c r="AG203" s="148" t="s">
        <v>1255</v>
      </c>
      <c r="AH203" s="148"/>
      <c r="AI203" s="148" t="s">
        <v>1253</v>
      </c>
      <c r="AJ203" s="148" t="e">
        <v>#REF!</v>
      </c>
      <c r="AK203" s="148" t="e">
        <v>#REF!</v>
      </c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</row>
    <row r="204" ht="14.25" customHeight="1">
      <c r="A204" s="152" t="s">
        <v>13</v>
      </c>
      <c r="B204" s="135" t="s">
        <v>1246</v>
      </c>
      <c r="C204" s="77">
        <v>46140.0</v>
      </c>
      <c r="D204" s="161">
        <v>109837.0</v>
      </c>
      <c r="E204" s="60">
        <v>26.10565</v>
      </c>
      <c r="F204" s="60">
        <v>26.36022</v>
      </c>
      <c r="G204" s="62" t="s">
        <v>1256</v>
      </c>
      <c r="H204" s="63" t="s">
        <v>45</v>
      </c>
      <c r="I204" s="138">
        <v>1.0</v>
      </c>
      <c r="J204" s="79">
        <v>4.65</v>
      </c>
      <c r="K204" s="80" t="s">
        <v>188</v>
      </c>
      <c r="L204" s="66" t="s">
        <v>1257</v>
      </c>
      <c r="M204" s="81">
        <v>6.0</v>
      </c>
      <c r="N204" s="167">
        <v>0.32999999999999996</v>
      </c>
      <c r="O204" s="69">
        <v>4.5840000000000005</v>
      </c>
      <c r="P204" s="151" t="s">
        <v>162</v>
      </c>
      <c r="Q204" s="143" t="s">
        <v>163</v>
      </c>
      <c r="R204" s="74"/>
      <c r="S204" s="158"/>
      <c r="T204" s="146">
        <f t="shared" si="11"/>
        <v>246</v>
      </c>
      <c r="U204" s="146">
        <f t="shared" ref="U204:U205" si="32">round((O204*89)+(10*N204),-1)</f>
        <v>410</v>
      </c>
      <c r="V204" s="147" t="s">
        <v>38</v>
      </c>
      <c r="W204" s="74" t="b">
        <v>1</v>
      </c>
      <c r="X204" s="74" t="b">
        <v>0</v>
      </c>
      <c r="Y204" s="74" t="b">
        <v>1</v>
      </c>
      <c r="Z204" s="148" t="str">
        <f>IFERROR(__xludf.DUMMYFUNCTION("""COMPUTED_VALUE"""),"#REF!")</f>
        <v>#REF!</v>
      </c>
      <c r="AA204" s="148" t="str">
        <f>IFERROR(__xludf.DUMMYFUNCTION("""COMPUTED_VALUE"""),"#REF!")</f>
        <v>#REF!</v>
      </c>
      <c r="AB204" s="148" t="str">
        <f>IFERROR(__xludf.DUMMYFUNCTION("""COMPUTED_VALUE"""),"#REF!")</f>
        <v>#REF!</v>
      </c>
      <c r="AC204" s="148"/>
      <c r="AD204" s="153">
        <v>46140.0</v>
      </c>
      <c r="AE204" s="148"/>
      <c r="AF204" s="47">
        <v>109837.0</v>
      </c>
      <c r="AG204" s="148" t="s">
        <v>1258</v>
      </c>
      <c r="AH204" s="148"/>
      <c r="AI204" s="148" t="s">
        <v>1256</v>
      </c>
      <c r="AJ204" s="148" t="e">
        <v>#REF!</v>
      </c>
      <c r="AK204" s="148" t="e">
        <v>#REF!</v>
      </c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</row>
    <row r="205" ht="14.25" customHeight="1">
      <c r="A205" s="152" t="s">
        <v>13</v>
      </c>
      <c r="B205" s="135" t="s">
        <v>1246</v>
      </c>
      <c r="C205" s="77">
        <v>46140.0</v>
      </c>
      <c r="D205" s="161">
        <v>109838.0</v>
      </c>
      <c r="E205" s="60">
        <v>26.10565</v>
      </c>
      <c r="F205" s="60">
        <v>26.36024</v>
      </c>
      <c r="G205" s="62" t="s">
        <v>1259</v>
      </c>
      <c r="H205" s="63" t="s">
        <v>45</v>
      </c>
      <c r="I205" s="138">
        <v>1.0</v>
      </c>
      <c r="J205" s="79">
        <v>4.71</v>
      </c>
      <c r="K205" s="80" t="s">
        <v>188</v>
      </c>
      <c r="L205" s="66" t="s">
        <v>1260</v>
      </c>
      <c r="M205" s="81">
        <v>6.0</v>
      </c>
      <c r="N205" s="167">
        <v>0.33599999999999997</v>
      </c>
      <c r="O205" s="69">
        <v>4.6428</v>
      </c>
      <c r="P205" s="151" t="s">
        <v>162</v>
      </c>
      <c r="Q205" s="143" t="s">
        <v>163</v>
      </c>
      <c r="R205" s="74"/>
      <c r="S205" s="158"/>
      <c r="T205" s="146">
        <f t="shared" si="11"/>
        <v>252</v>
      </c>
      <c r="U205" s="146">
        <f t="shared" si="32"/>
        <v>420</v>
      </c>
      <c r="V205" s="147" t="s">
        <v>38</v>
      </c>
      <c r="W205" s="74" t="b">
        <v>1</v>
      </c>
      <c r="X205" s="74" t="b">
        <v>0</v>
      </c>
      <c r="Y205" s="74" t="b">
        <v>1</v>
      </c>
      <c r="Z205" s="148" t="str">
        <f>IFERROR(__xludf.DUMMYFUNCTION("""COMPUTED_VALUE"""),"#REF!")</f>
        <v>#REF!</v>
      </c>
      <c r="AA205" s="148" t="str">
        <f>IFERROR(__xludf.DUMMYFUNCTION("""COMPUTED_VALUE"""),"#REF!")</f>
        <v>#REF!</v>
      </c>
      <c r="AB205" s="148" t="str">
        <f>IFERROR(__xludf.DUMMYFUNCTION("""COMPUTED_VALUE"""),"#REF!")</f>
        <v>#REF!</v>
      </c>
      <c r="AC205" s="148"/>
      <c r="AD205" s="153">
        <v>46140.0</v>
      </c>
      <c r="AE205" s="148"/>
      <c r="AF205" s="47">
        <v>109838.0</v>
      </c>
      <c r="AG205" s="148" t="s">
        <v>1261</v>
      </c>
      <c r="AH205" s="148"/>
      <c r="AI205" s="148" t="s">
        <v>1259</v>
      </c>
      <c r="AJ205" s="148" t="e">
        <v>#REF!</v>
      </c>
      <c r="AK205" s="148" t="e">
        <v>#REF!</v>
      </c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</row>
    <row r="206" ht="14.25" customHeight="1">
      <c r="A206" s="152" t="s">
        <v>13</v>
      </c>
      <c r="B206" s="135" t="s">
        <v>1246</v>
      </c>
      <c r="C206" s="77">
        <v>46140.0</v>
      </c>
      <c r="D206" s="161">
        <v>109839.0</v>
      </c>
      <c r="E206" s="60">
        <v>25.9275</v>
      </c>
      <c r="F206" s="60">
        <v>25.32226</v>
      </c>
      <c r="G206" s="62" t="s">
        <v>1262</v>
      </c>
      <c r="H206" s="63" t="s">
        <v>45</v>
      </c>
      <c r="I206" s="138">
        <v>1.0</v>
      </c>
      <c r="J206" s="79">
        <v>16.28</v>
      </c>
      <c r="K206" s="80" t="s">
        <v>900</v>
      </c>
      <c r="L206" s="66" t="s">
        <v>1263</v>
      </c>
      <c r="M206" s="81">
        <v>118.0</v>
      </c>
      <c r="N206" s="167">
        <v>0.912</v>
      </c>
      <c r="O206" s="69">
        <v>16.0976</v>
      </c>
      <c r="P206" s="151" t="s">
        <v>162</v>
      </c>
      <c r="Q206" s="143" t="s">
        <v>154</v>
      </c>
      <c r="R206" s="74" t="s">
        <v>155</v>
      </c>
      <c r="S206" s="158"/>
      <c r="T206" s="146">
        <f t="shared" si="11"/>
        <v>1158</v>
      </c>
      <c r="U206" s="146">
        <f t="shared" ref="U206:U208" si="33">round((O206*89)+(550*N206),-1)</f>
        <v>1930</v>
      </c>
      <c r="V206" s="147" t="s">
        <v>38</v>
      </c>
      <c r="W206" s="74" t="b">
        <v>1</v>
      </c>
      <c r="X206" s="74" t="b">
        <v>0</v>
      </c>
      <c r="Y206" s="74" t="b">
        <v>1</v>
      </c>
      <c r="Z206" s="148" t="str">
        <f>IFERROR(__xludf.DUMMYFUNCTION("""COMPUTED_VALUE"""),"#REF!")</f>
        <v>#REF!</v>
      </c>
      <c r="AA206" s="148" t="str">
        <f>IFERROR(__xludf.DUMMYFUNCTION("""COMPUTED_VALUE"""),"#REF!")</f>
        <v>#REF!</v>
      </c>
      <c r="AB206" s="148" t="str">
        <f>IFERROR(__xludf.DUMMYFUNCTION("""COMPUTED_VALUE"""),"#REF!")</f>
        <v>#REF!</v>
      </c>
      <c r="AC206" s="148"/>
      <c r="AD206" s="153">
        <v>46140.0</v>
      </c>
      <c r="AE206" s="148"/>
      <c r="AF206" s="47">
        <v>109839.0</v>
      </c>
      <c r="AG206" s="148" t="s">
        <v>1264</v>
      </c>
      <c r="AH206" s="148"/>
      <c r="AI206" s="148" t="s">
        <v>1262</v>
      </c>
      <c r="AJ206" s="148" t="e">
        <v>#REF!</v>
      </c>
      <c r="AK206" s="148" t="e">
        <v>#REF!</v>
      </c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</row>
    <row r="207" ht="14.25" customHeight="1">
      <c r="A207" s="152" t="s">
        <v>13</v>
      </c>
      <c r="B207" s="135" t="s">
        <v>1246</v>
      </c>
      <c r="C207" s="77">
        <v>46140.0</v>
      </c>
      <c r="D207" s="161">
        <v>109840.0</v>
      </c>
      <c r="E207" s="60">
        <v>25.9496</v>
      </c>
      <c r="F207" s="60">
        <v>25.34188</v>
      </c>
      <c r="G207" s="62" t="s">
        <v>1265</v>
      </c>
      <c r="H207" s="63" t="s">
        <v>34</v>
      </c>
      <c r="I207" s="138">
        <v>1.0</v>
      </c>
      <c r="J207" s="79">
        <v>2.92</v>
      </c>
      <c r="K207" s="80" t="s">
        <v>177</v>
      </c>
      <c r="L207" s="66" t="s">
        <v>1266</v>
      </c>
      <c r="M207" s="81"/>
      <c r="N207" s="167"/>
      <c r="O207" s="69">
        <v>2.92</v>
      </c>
      <c r="P207" s="151" t="s">
        <v>162</v>
      </c>
      <c r="Q207" s="143" t="s">
        <v>154</v>
      </c>
      <c r="R207" s="74" t="s">
        <v>155</v>
      </c>
      <c r="S207" s="158"/>
      <c r="T207" s="146">
        <f t="shared" si="11"/>
        <v>156</v>
      </c>
      <c r="U207" s="146">
        <f t="shared" si="33"/>
        <v>260</v>
      </c>
      <c r="V207" s="147" t="s">
        <v>38</v>
      </c>
      <c r="W207" s="74" t="b">
        <v>0</v>
      </c>
      <c r="X207" s="74" t="b">
        <v>0</v>
      </c>
      <c r="Y207" s="74" t="b">
        <v>1</v>
      </c>
      <c r="Z207" s="148" t="str">
        <f>IFERROR(__xludf.DUMMYFUNCTION("""COMPUTED_VALUE"""),"#REF!")</f>
        <v>#REF!</v>
      </c>
      <c r="AA207" s="148" t="str">
        <f>IFERROR(__xludf.DUMMYFUNCTION("""COMPUTED_VALUE"""),"#REF!")</f>
        <v>#REF!</v>
      </c>
      <c r="AB207" s="148" t="str">
        <f>IFERROR(__xludf.DUMMYFUNCTION("""COMPUTED_VALUE"""),"#REF!")</f>
        <v>#REF!</v>
      </c>
      <c r="AC207" s="148"/>
      <c r="AD207" s="153">
        <v>46140.0</v>
      </c>
      <c r="AE207" s="148"/>
      <c r="AF207" s="47">
        <v>109840.0</v>
      </c>
      <c r="AG207" s="148" t="s">
        <v>1267</v>
      </c>
      <c r="AH207" s="148"/>
      <c r="AI207" s="148" t="s">
        <v>1265</v>
      </c>
      <c r="AJ207" s="148" t="e">
        <v>#REF!</v>
      </c>
      <c r="AK207" s="148" t="e">
        <v>#REF!</v>
      </c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</row>
    <row r="208" ht="14.25" customHeight="1">
      <c r="A208" s="152" t="s">
        <v>13</v>
      </c>
      <c r="B208" s="135" t="s">
        <v>1268</v>
      </c>
      <c r="C208" s="77">
        <v>46140.0</v>
      </c>
      <c r="D208" s="161">
        <v>109841.0</v>
      </c>
      <c r="E208" s="60">
        <v>26.10642</v>
      </c>
      <c r="F208" s="60">
        <v>26.36182</v>
      </c>
      <c r="G208" s="62" t="s">
        <v>1269</v>
      </c>
      <c r="H208" s="63" t="s">
        <v>45</v>
      </c>
      <c r="I208" s="138">
        <v>1.0</v>
      </c>
      <c r="J208" s="79">
        <v>2.4</v>
      </c>
      <c r="K208" s="80" t="s">
        <v>57</v>
      </c>
      <c r="L208" s="66" t="s">
        <v>1270</v>
      </c>
      <c r="M208" s="81"/>
      <c r="N208" s="167"/>
      <c r="O208" s="69">
        <v>2.4</v>
      </c>
      <c r="P208" s="151" t="s">
        <v>153</v>
      </c>
      <c r="Q208" s="143" t="s">
        <v>154</v>
      </c>
      <c r="R208" s="74" t="s">
        <v>155</v>
      </c>
      <c r="S208" s="158"/>
      <c r="T208" s="146">
        <f t="shared" si="11"/>
        <v>126</v>
      </c>
      <c r="U208" s="146">
        <f t="shared" si="33"/>
        <v>210</v>
      </c>
      <c r="V208" s="147" t="s">
        <v>38</v>
      </c>
      <c r="W208" s="74" t="b">
        <v>0</v>
      </c>
      <c r="X208" s="74" t="b">
        <v>0</v>
      </c>
      <c r="Y208" s="74" t="b">
        <v>1</v>
      </c>
      <c r="Z208" s="148" t="str">
        <f>IFERROR(__xludf.DUMMYFUNCTION("""COMPUTED_VALUE"""),"#REF!")</f>
        <v>#REF!</v>
      </c>
      <c r="AA208" s="148" t="str">
        <f>IFERROR(__xludf.DUMMYFUNCTION("""COMPUTED_VALUE"""),"#REF!")</f>
        <v>#REF!</v>
      </c>
      <c r="AB208" s="148" t="str">
        <f>IFERROR(__xludf.DUMMYFUNCTION("""COMPUTED_VALUE"""),"#REF!")</f>
        <v>#REF!</v>
      </c>
      <c r="AC208" s="148"/>
      <c r="AD208" s="153">
        <v>46140.0</v>
      </c>
      <c r="AE208" s="148"/>
      <c r="AF208" s="47">
        <v>109841.0</v>
      </c>
      <c r="AG208" s="148" t="s">
        <v>1271</v>
      </c>
      <c r="AH208" s="148"/>
      <c r="AI208" s="148" t="s">
        <v>1269</v>
      </c>
      <c r="AJ208" s="148" t="e">
        <v>#REF!</v>
      </c>
      <c r="AK208" s="148" t="e">
        <v>#REF!</v>
      </c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</row>
    <row r="209" ht="14.25" customHeight="1">
      <c r="A209" s="134"/>
      <c r="B209" s="135"/>
      <c r="C209" s="77"/>
      <c r="D209" s="161"/>
      <c r="E209" s="60"/>
      <c r="F209" s="60"/>
      <c r="G209" s="62"/>
      <c r="H209" s="63"/>
      <c r="I209" s="138"/>
      <c r="J209" s="79"/>
      <c r="K209" s="80"/>
      <c r="L209" s="66"/>
      <c r="M209" s="81"/>
      <c r="N209" s="167"/>
      <c r="O209" s="69">
        <f t="shared" ref="O209:O298" si="34">J209-(N209*0.2)</f>
        <v>0</v>
      </c>
      <c r="P209" s="151"/>
      <c r="Q209" s="143"/>
      <c r="R209" s="74"/>
      <c r="S209" s="158"/>
      <c r="T209" s="146">
        <f t="shared" si="11"/>
        <v>0</v>
      </c>
      <c r="U209" s="146"/>
      <c r="V209" s="147"/>
      <c r="W209" s="74" t="b">
        <v>0</v>
      </c>
      <c r="X209" s="74" t="b">
        <v>0</v>
      </c>
      <c r="Y209" s="74" t="b">
        <v>0</v>
      </c>
      <c r="Z209" s="148" t="str">
        <f>IFERROR(__xludf.DUMMYFUNCTION("""COMPUTED_VALUE"""),"")</f>
        <v/>
      </c>
      <c r="AA209" s="148" t="str">
        <f>IFERROR(__xludf.DUMMYFUNCTION("""COMPUTED_VALUE"""),"")</f>
        <v/>
      </c>
      <c r="AB209" s="148" t="str">
        <f>IFERROR(__xludf.DUMMYFUNCTION("""COMPUTED_VALUE"""),"")</f>
        <v/>
      </c>
      <c r="AC209" s="148"/>
      <c r="AD209" s="153"/>
      <c r="AE209" s="148"/>
      <c r="AF209" s="47"/>
      <c r="AG209" s="148" t="s">
        <v>613</v>
      </c>
      <c r="AH209" s="148"/>
      <c r="AI209" s="148"/>
      <c r="AJ209" s="148" t="s">
        <v>614</v>
      </c>
      <c r="AK209" s="148" t="s">
        <v>614</v>
      </c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</row>
    <row r="210" ht="14.25" customHeight="1">
      <c r="A210" s="134"/>
      <c r="B210" s="135"/>
      <c r="C210" s="77"/>
      <c r="D210" s="161"/>
      <c r="E210" s="60"/>
      <c r="F210" s="60"/>
      <c r="G210" s="62"/>
      <c r="H210" s="63"/>
      <c r="I210" s="138"/>
      <c r="J210" s="79"/>
      <c r="K210" s="80"/>
      <c r="L210" s="66"/>
      <c r="M210" s="81"/>
      <c r="N210" s="167"/>
      <c r="O210" s="69">
        <f t="shared" si="34"/>
        <v>0</v>
      </c>
      <c r="P210" s="151"/>
      <c r="Q210" s="143"/>
      <c r="R210" s="74"/>
      <c r="S210" s="158"/>
      <c r="T210" s="146">
        <f t="shared" si="11"/>
        <v>0</v>
      </c>
      <c r="U210" s="146"/>
      <c r="V210" s="147"/>
      <c r="W210" s="74" t="b">
        <v>0</v>
      </c>
      <c r="X210" s="74" t="b">
        <v>0</v>
      </c>
      <c r="Y210" s="74" t="b">
        <v>0</v>
      </c>
      <c r="Z210" s="148" t="str">
        <f>IFERROR(__xludf.DUMMYFUNCTION("""COMPUTED_VALUE"""),"")</f>
        <v/>
      </c>
      <c r="AA210" s="148" t="str">
        <f>IFERROR(__xludf.DUMMYFUNCTION("""COMPUTED_VALUE"""),"")</f>
        <v/>
      </c>
      <c r="AB210" s="148" t="str">
        <f>IFERROR(__xludf.DUMMYFUNCTION("""COMPUTED_VALUE"""),"")</f>
        <v/>
      </c>
      <c r="AC210" s="148"/>
      <c r="AD210" s="153"/>
      <c r="AE210" s="148"/>
      <c r="AF210" s="47"/>
      <c r="AG210" s="148" t="s">
        <v>613</v>
      </c>
      <c r="AH210" s="148"/>
      <c r="AI210" s="148"/>
      <c r="AJ210" s="148" t="s">
        <v>614</v>
      </c>
      <c r="AK210" s="148" t="s">
        <v>614</v>
      </c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</row>
    <row r="211" ht="14.25" customHeight="1">
      <c r="A211" s="134"/>
      <c r="B211" s="135"/>
      <c r="C211" s="77"/>
      <c r="D211" s="161"/>
      <c r="E211" s="60"/>
      <c r="F211" s="60"/>
      <c r="G211" s="62"/>
      <c r="H211" s="63"/>
      <c r="I211" s="138"/>
      <c r="J211" s="79"/>
      <c r="K211" s="80"/>
      <c r="L211" s="66"/>
      <c r="M211" s="81"/>
      <c r="N211" s="167"/>
      <c r="O211" s="69">
        <f t="shared" si="34"/>
        <v>0</v>
      </c>
      <c r="P211" s="151"/>
      <c r="Q211" s="143"/>
      <c r="R211" s="74"/>
      <c r="S211" s="158"/>
      <c r="T211" s="146">
        <f t="shared" si="11"/>
        <v>0</v>
      </c>
      <c r="U211" s="146">
        <f t="shared" ref="U211:U222" si="35">round((O211*89)+(550*N211),-1)</f>
        <v>0</v>
      </c>
      <c r="V211" s="147"/>
      <c r="W211" s="74" t="b">
        <v>0</v>
      </c>
      <c r="X211" s="74" t="b">
        <v>0</v>
      </c>
      <c r="Y211" s="74" t="b">
        <v>0</v>
      </c>
      <c r="Z211" s="148" t="str">
        <f>IFERROR(__xludf.DUMMYFUNCTION("""COMPUTED_VALUE"""),"")</f>
        <v/>
      </c>
      <c r="AA211" s="148" t="str">
        <f>IFERROR(__xludf.DUMMYFUNCTION("""COMPUTED_VALUE"""),"")</f>
        <v/>
      </c>
      <c r="AB211" s="148" t="str">
        <f>IFERROR(__xludf.DUMMYFUNCTION("""COMPUTED_VALUE"""),"")</f>
        <v/>
      </c>
      <c r="AC211" s="148"/>
      <c r="AD211" s="153"/>
      <c r="AE211" s="148"/>
      <c r="AF211" s="47"/>
      <c r="AG211" s="148" t="s">
        <v>613</v>
      </c>
      <c r="AH211" s="148"/>
      <c r="AI211" s="148"/>
      <c r="AJ211" s="148" t="s">
        <v>614</v>
      </c>
      <c r="AK211" s="148" t="s">
        <v>614</v>
      </c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</row>
    <row r="212" ht="14.25" customHeight="1">
      <c r="A212" s="134"/>
      <c r="B212" s="135"/>
      <c r="C212" s="77"/>
      <c r="D212" s="161"/>
      <c r="E212" s="60"/>
      <c r="F212" s="60"/>
      <c r="G212" s="62"/>
      <c r="H212" s="63"/>
      <c r="I212" s="138"/>
      <c r="J212" s="79"/>
      <c r="K212" s="80"/>
      <c r="L212" s="66"/>
      <c r="M212" s="81"/>
      <c r="N212" s="167"/>
      <c r="O212" s="69">
        <f t="shared" si="34"/>
        <v>0</v>
      </c>
      <c r="P212" s="151"/>
      <c r="Q212" s="143"/>
      <c r="R212" s="74"/>
      <c r="S212" s="158"/>
      <c r="T212" s="146">
        <f t="shared" si="11"/>
        <v>0</v>
      </c>
      <c r="U212" s="146">
        <f t="shared" si="35"/>
        <v>0</v>
      </c>
      <c r="V212" s="147"/>
      <c r="W212" s="74" t="b">
        <v>0</v>
      </c>
      <c r="X212" s="74" t="b">
        <v>0</v>
      </c>
      <c r="Y212" s="74" t="b">
        <v>0</v>
      </c>
      <c r="Z212" s="148" t="str">
        <f>IFERROR(__xludf.DUMMYFUNCTION("""COMPUTED_VALUE"""),"")</f>
        <v/>
      </c>
      <c r="AA212" s="148" t="str">
        <f>IFERROR(__xludf.DUMMYFUNCTION("""COMPUTED_VALUE"""),"")</f>
        <v/>
      </c>
      <c r="AB212" s="148" t="str">
        <f>IFERROR(__xludf.DUMMYFUNCTION("""COMPUTED_VALUE"""),"")</f>
        <v/>
      </c>
      <c r="AC212" s="148"/>
      <c r="AD212" s="153"/>
      <c r="AE212" s="148"/>
      <c r="AF212" s="47"/>
      <c r="AG212" s="148" t="s">
        <v>613</v>
      </c>
      <c r="AH212" s="148"/>
      <c r="AI212" s="148"/>
      <c r="AJ212" s="148" t="s">
        <v>614</v>
      </c>
      <c r="AK212" s="148" t="s">
        <v>614</v>
      </c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</row>
    <row r="213" ht="14.25" customHeight="1">
      <c r="A213" s="134"/>
      <c r="B213" s="135"/>
      <c r="C213" s="77"/>
      <c r="D213" s="161"/>
      <c r="E213" s="60"/>
      <c r="F213" s="60"/>
      <c r="G213" s="62"/>
      <c r="H213" s="63"/>
      <c r="I213" s="138"/>
      <c r="J213" s="79"/>
      <c r="K213" s="80"/>
      <c r="L213" s="66"/>
      <c r="M213" s="81"/>
      <c r="N213" s="167"/>
      <c r="O213" s="69">
        <f t="shared" si="34"/>
        <v>0</v>
      </c>
      <c r="P213" s="151"/>
      <c r="Q213" s="143"/>
      <c r="R213" s="74"/>
      <c r="S213" s="158"/>
      <c r="T213" s="146">
        <f t="shared" si="11"/>
        <v>0</v>
      </c>
      <c r="U213" s="146">
        <f t="shared" si="35"/>
        <v>0</v>
      </c>
      <c r="V213" s="147"/>
      <c r="W213" s="74" t="b">
        <v>0</v>
      </c>
      <c r="X213" s="74" t="b">
        <v>0</v>
      </c>
      <c r="Y213" s="74" t="b">
        <v>0</v>
      </c>
      <c r="Z213" s="148" t="str">
        <f>IFERROR(__xludf.DUMMYFUNCTION("""COMPUTED_VALUE"""),"")</f>
        <v/>
      </c>
      <c r="AA213" s="148" t="str">
        <f>IFERROR(__xludf.DUMMYFUNCTION("""COMPUTED_VALUE"""),"")</f>
        <v/>
      </c>
      <c r="AB213" s="148" t="str">
        <f>IFERROR(__xludf.DUMMYFUNCTION("""COMPUTED_VALUE"""),"")</f>
        <v/>
      </c>
      <c r="AC213" s="148"/>
      <c r="AD213" s="153"/>
      <c r="AE213" s="148"/>
      <c r="AF213" s="47"/>
      <c r="AG213" s="148" t="s">
        <v>613</v>
      </c>
      <c r="AH213" s="148"/>
      <c r="AI213" s="148"/>
      <c r="AJ213" s="148" t="s">
        <v>614</v>
      </c>
      <c r="AK213" s="148" t="s">
        <v>614</v>
      </c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</row>
    <row r="214" ht="14.25" customHeight="1">
      <c r="A214" s="134"/>
      <c r="B214" s="135"/>
      <c r="C214" s="77"/>
      <c r="D214" s="161"/>
      <c r="E214" s="60"/>
      <c r="F214" s="60"/>
      <c r="G214" s="62"/>
      <c r="H214" s="63"/>
      <c r="I214" s="138"/>
      <c r="J214" s="79"/>
      <c r="K214" s="80"/>
      <c r="L214" s="66"/>
      <c r="M214" s="81"/>
      <c r="N214" s="167"/>
      <c r="O214" s="69">
        <f t="shared" si="34"/>
        <v>0</v>
      </c>
      <c r="P214" s="151"/>
      <c r="Q214" s="143"/>
      <c r="R214" s="74"/>
      <c r="S214" s="158"/>
      <c r="T214" s="146">
        <f t="shared" si="11"/>
        <v>0</v>
      </c>
      <c r="U214" s="146">
        <f t="shared" si="35"/>
        <v>0</v>
      </c>
      <c r="V214" s="147"/>
      <c r="W214" s="74" t="b">
        <v>0</v>
      </c>
      <c r="X214" s="74" t="b">
        <v>0</v>
      </c>
      <c r="Y214" s="74" t="b">
        <v>0</v>
      </c>
      <c r="Z214" s="148" t="str">
        <f>IFERROR(__xludf.DUMMYFUNCTION("""COMPUTED_VALUE"""),"")</f>
        <v/>
      </c>
      <c r="AA214" s="148" t="str">
        <f>IFERROR(__xludf.DUMMYFUNCTION("""COMPUTED_VALUE"""),"")</f>
        <v/>
      </c>
      <c r="AB214" s="148" t="str">
        <f>IFERROR(__xludf.DUMMYFUNCTION("""COMPUTED_VALUE"""),"")</f>
        <v/>
      </c>
      <c r="AC214" s="148"/>
      <c r="AD214" s="153"/>
      <c r="AE214" s="148"/>
      <c r="AF214" s="47"/>
      <c r="AG214" s="148" t="s">
        <v>613</v>
      </c>
      <c r="AH214" s="148"/>
      <c r="AI214" s="148"/>
      <c r="AJ214" s="148" t="s">
        <v>614</v>
      </c>
      <c r="AK214" s="148" t="s">
        <v>614</v>
      </c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</row>
    <row r="215" ht="14.25" customHeight="1">
      <c r="A215" s="134"/>
      <c r="B215" s="135"/>
      <c r="C215" s="77"/>
      <c r="D215" s="161"/>
      <c r="E215" s="60"/>
      <c r="F215" s="60"/>
      <c r="G215" s="62"/>
      <c r="H215" s="63"/>
      <c r="I215" s="138"/>
      <c r="J215" s="79"/>
      <c r="K215" s="80"/>
      <c r="L215" s="66"/>
      <c r="M215" s="81"/>
      <c r="N215" s="167"/>
      <c r="O215" s="69">
        <f t="shared" si="34"/>
        <v>0</v>
      </c>
      <c r="P215" s="151"/>
      <c r="Q215" s="143"/>
      <c r="R215" s="74"/>
      <c r="S215" s="158"/>
      <c r="T215" s="146">
        <f t="shared" si="11"/>
        <v>0</v>
      </c>
      <c r="U215" s="146">
        <f t="shared" si="35"/>
        <v>0</v>
      </c>
      <c r="V215" s="147"/>
      <c r="W215" s="74" t="b">
        <v>0</v>
      </c>
      <c r="X215" s="74" t="b">
        <v>0</v>
      </c>
      <c r="Y215" s="74" t="b">
        <v>0</v>
      </c>
      <c r="Z215" s="148" t="str">
        <f>IFERROR(__xludf.DUMMYFUNCTION("""COMPUTED_VALUE"""),"")</f>
        <v/>
      </c>
      <c r="AA215" s="148" t="str">
        <f>IFERROR(__xludf.DUMMYFUNCTION("""COMPUTED_VALUE"""),"")</f>
        <v/>
      </c>
      <c r="AB215" s="148" t="str">
        <f>IFERROR(__xludf.DUMMYFUNCTION("""COMPUTED_VALUE"""),"")</f>
        <v/>
      </c>
      <c r="AC215" s="148"/>
      <c r="AD215" s="153"/>
      <c r="AE215" s="148"/>
      <c r="AF215" s="47"/>
      <c r="AG215" s="148" t="s">
        <v>613</v>
      </c>
      <c r="AH215" s="148"/>
      <c r="AI215" s="148"/>
      <c r="AJ215" s="148" t="s">
        <v>614</v>
      </c>
      <c r="AK215" s="148" t="s">
        <v>614</v>
      </c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</row>
    <row r="216" ht="14.25" customHeight="1">
      <c r="A216" s="134"/>
      <c r="B216" s="135"/>
      <c r="C216" s="58"/>
      <c r="D216" s="166"/>
      <c r="E216" s="60"/>
      <c r="F216" s="60"/>
      <c r="G216" s="62"/>
      <c r="H216" s="63"/>
      <c r="I216" s="138"/>
      <c r="J216" s="63"/>
      <c r="K216" s="65"/>
      <c r="L216" s="66"/>
      <c r="M216" s="81"/>
      <c r="N216" s="167"/>
      <c r="O216" s="69">
        <f t="shared" si="34"/>
        <v>0</v>
      </c>
      <c r="P216" s="142"/>
      <c r="Q216" s="143"/>
      <c r="R216" s="74"/>
      <c r="S216" s="158"/>
      <c r="T216" s="146">
        <f t="shared" si="11"/>
        <v>0</v>
      </c>
      <c r="U216" s="146">
        <f t="shared" si="35"/>
        <v>0</v>
      </c>
      <c r="V216" s="147"/>
      <c r="W216" s="74" t="b">
        <v>0</v>
      </c>
      <c r="X216" s="74" t="b">
        <v>0</v>
      </c>
      <c r="Y216" s="74" t="b">
        <v>0</v>
      </c>
      <c r="Z216" s="148" t="str">
        <f>IFERROR(__xludf.DUMMYFUNCTION("""COMPUTED_VALUE"""),"")</f>
        <v/>
      </c>
      <c r="AA216" s="148" t="str">
        <f>IFERROR(__xludf.DUMMYFUNCTION("""COMPUTED_VALUE"""),"")</f>
        <v/>
      </c>
      <c r="AB216" s="148" t="str">
        <f>IFERROR(__xludf.DUMMYFUNCTION("""COMPUTED_VALUE"""),"")</f>
        <v/>
      </c>
      <c r="AC216" s="148"/>
      <c r="AD216" s="149"/>
      <c r="AE216" s="148"/>
      <c r="AF216" s="148"/>
      <c r="AG216" s="148" t="s">
        <v>613</v>
      </c>
      <c r="AH216" s="148"/>
      <c r="AI216" s="148"/>
      <c r="AJ216" s="148" t="s">
        <v>614</v>
      </c>
      <c r="AK216" s="148" t="s">
        <v>614</v>
      </c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</row>
    <row r="217" ht="14.25" customHeight="1">
      <c r="A217" s="134"/>
      <c r="B217" s="135"/>
      <c r="C217" s="58"/>
      <c r="D217" s="166"/>
      <c r="E217" s="60"/>
      <c r="F217" s="60"/>
      <c r="G217" s="62"/>
      <c r="H217" s="63"/>
      <c r="I217" s="138"/>
      <c r="J217" s="63"/>
      <c r="K217" s="65"/>
      <c r="L217" s="66"/>
      <c r="M217" s="81"/>
      <c r="N217" s="167"/>
      <c r="O217" s="69">
        <f t="shared" si="34"/>
        <v>0</v>
      </c>
      <c r="P217" s="142"/>
      <c r="Q217" s="143"/>
      <c r="R217" s="74"/>
      <c r="S217" s="158"/>
      <c r="T217" s="146">
        <f t="shared" si="11"/>
        <v>0</v>
      </c>
      <c r="U217" s="146">
        <f t="shared" si="35"/>
        <v>0</v>
      </c>
      <c r="V217" s="147"/>
      <c r="W217" s="74" t="b">
        <v>0</v>
      </c>
      <c r="X217" s="74" t="b">
        <v>0</v>
      </c>
      <c r="Y217" s="74" t="b">
        <v>0</v>
      </c>
      <c r="Z217" s="148" t="str">
        <f>IFERROR(__xludf.DUMMYFUNCTION("""COMPUTED_VALUE"""),"")</f>
        <v/>
      </c>
      <c r="AA217" s="148" t="str">
        <f>IFERROR(__xludf.DUMMYFUNCTION("""COMPUTED_VALUE"""),"")</f>
        <v/>
      </c>
      <c r="AB217" s="148" t="str">
        <f>IFERROR(__xludf.DUMMYFUNCTION("""COMPUTED_VALUE"""),"")</f>
        <v/>
      </c>
      <c r="AC217" s="148"/>
      <c r="AD217" s="149"/>
      <c r="AE217" s="148"/>
      <c r="AF217" s="148"/>
      <c r="AG217" s="148" t="s">
        <v>613</v>
      </c>
      <c r="AH217" s="148"/>
      <c r="AI217" s="148"/>
      <c r="AJ217" s="148" t="s">
        <v>614</v>
      </c>
      <c r="AK217" s="148" t="s">
        <v>614</v>
      </c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</row>
    <row r="218" ht="14.25" customHeight="1">
      <c r="A218" s="134"/>
      <c r="B218" s="135"/>
      <c r="C218" s="58"/>
      <c r="D218" s="166"/>
      <c r="E218" s="60"/>
      <c r="F218" s="60"/>
      <c r="G218" s="62"/>
      <c r="H218" s="63"/>
      <c r="I218" s="138"/>
      <c r="J218" s="63"/>
      <c r="K218" s="65"/>
      <c r="L218" s="66"/>
      <c r="M218" s="81"/>
      <c r="N218" s="167"/>
      <c r="O218" s="69">
        <f t="shared" si="34"/>
        <v>0</v>
      </c>
      <c r="P218" s="142"/>
      <c r="Q218" s="143"/>
      <c r="R218" s="74"/>
      <c r="S218" s="158"/>
      <c r="T218" s="146">
        <f t="shared" si="11"/>
        <v>0</v>
      </c>
      <c r="U218" s="146">
        <f t="shared" si="35"/>
        <v>0</v>
      </c>
      <c r="V218" s="147"/>
      <c r="W218" s="74" t="b">
        <v>0</v>
      </c>
      <c r="X218" s="74" t="b">
        <v>0</v>
      </c>
      <c r="Y218" s="74" t="b">
        <v>0</v>
      </c>
      <c r="Z218" s="148" t="str">
        <f>IFERROR(__xludf.DUMMYFUNCTION("""COMPUTED_VALUE"""),"")</f>
        <v/>
      </c>
      <c r="AA218" s="148" t="str">
        <f>IFERROR(__xludf.DUMMYFUNCTION("""COMPUTED_VALUE"""),"")</f>
        <v/>
      </c>
      <c r="AB218" s="148" t="str">
        <f>IFERROR(__xludf.DUMMYFUNCTION("""COMPUTED_VALUE"""),"")</f>
        <v/>
      </c>
      <c r="AC218" s="148"/>
      <c r="AD218" s="149"/>
      <c r="AE218" s="148"/>
      <c r="AF218" s="148"/>
      <c r="AG218" s="148" t="s">
        <v>613</v>
      </c>
      <c r="AH218" s="148"/>
      <c r="AI218" s="148"/>
      <c r="AJ218" s="148" t="s">
        <v>614</v>
      </c>
      <c r="AK218" s="148" t="s">
        <v>614</v>
      </c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</row>
    <row r="219" ht="14.25" customHeight="1">
      <c r="A219" s="134"/>
      <c r="B219" s="135"/>
      <c r="C219" s="58"/>
      <c r="D219" s="166"/>
      <c r="E219" s="60"/>
      <c r="F219" s="60"/>
      <c r="G219" s="62"/>
      <c r="H219" s="63"/>
      <c r="I219" s="138"/>
      <c r="J219" s="63"/>
      <c r="K219" s="65"/>
      <c r="L219" s="66"/>
      <c r="M219" s="81"/>
      <c r="N219" s="167"/>
      <c r="O219" s="69">
        <f t="shared" si="34"/>
        <v>0</v>
      </c>
      <c r="P219" s="142"/>
      <c r="Q219" s="143"/>
      <c r="R219" s="74"/>
      <c r="S219" s="158"/>
      <c r="T219" s="146">
        <f t="shared" si="11"/>
        <v>0</v>
      </c>
      <c r="U219" s="146">
        <f t="shared" si="35"/>
        <v>0</v>
      </c>
      <c r="V219" s="147"/>
      <c r="W219" s="74" t="b">
        <v>0</v>
      </c>
      <c r="X219" s="74" t="b">
        <v>0</v>
      </c>
      <c r="Y219" s="74" t="b">
        <v>0</v>
      </c>
      <c r="Z219" s="148" t="str">
        <f>IFERROR(__xludf.DUMMYFUNCTION("""COMPUTED_VALUE"""),"")</f>
        <v/>
      </c>
      <c r="AA219" s="148" t="str">
        <f>IFERROR(__xludf.DUMMYFUNCTION("""COMPUTED_VALUE"""),"")</f>
        <v/>
      </c>
      <c r="AB219" s="148" t="str">
        <f>IFERROR(__xludf.DUMMYFUNCTION("""COMPUTED_VALUE"""),"")</f>
        <v/>
      </c>
      <c r="AC219" s="148"/>
      <c r="AD219" s="149"/>
      <c r="AE219" s="148"/>
      <c r="AF219" s="148"/>
      <c r="AG219" s="148" t="s">
        <v>613</v>
      </c>
      <c r="AH219" s="148"/>
      <c r="AI219" s="148"/>
      <c r="AJ219" s="148" t="s">
        <v>614</v>
      </c>
      <c r="AK219" s="148" t="s">
        <v>614</v>
      </c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</row>
    <row r="220" ht="14.25" customHeight="1">
      <c r="A220" s="134"/>
      <c r="B220" s="135"/>
      <c r="C220" s="58"/>
      <c r="D220" s="166"/>
      <c r="E220" s="60"/>
      <c r="F220" s="60"/>
      <c r="G220" s="62"/>
      <c r="H220" s="63"/>
      <c r="I220" s="138"/>
      <c r="J220" s="63"/>
      <c r="K220" s="65"/>
      <c r="L220" s="66"/>
      <c r="M220" s="81"/>
      <c r="N220" s="167"/>
      <c r="O220" s="69">
        <f t="shared" si="34"/>
        <v>0</v>
      </c>
      <c r="P220" s="142"/>
      <c r="Q220" s="143"/>
      <c r="R220" s="74"/>
      <c r="S220" s="158"/>
      <c r="T220" s="146">
        <f t="shared" si="11"/>
        <v>0</v>
      </c>
      <c r="U220" s="146">
        <f t="shared" si="35"/>
        <v>0</v>
      </c>
      <c r="V220" s="147"/>
      <c r="W220" s="74" t="b">
        <v>0</v>
      </c>
      <c r="X220" s="74" t="b">
        <v>0</v>
      </c>
      <c r="Y220" s="74" t="b">
        <v>0</v>
      </c>
      <c r="Z220" s="148" t="str">
        <f>IFERROR(__xludf.DUMMYFUNCTION("""COMPUTED_VALUE"""),"")</f>
        <v/>
      </c>
      <c r="AA220" s="148" t="str">
        <f>IFERROR(__xludf.DUMMYFUNCTION("""COMPUTED_VALUE"""),"")</f>
        <v/>
      </c>
      <c r="AB220" s="148" t="str">
        <f>IFERROR(__xludf.DUMMYFUNCTION("""COMPUTED_VALUE"""),"")</f>
        <v/>
      </c>
      <c r="AC220" s="148"/>
      <c r="AD220" s="149"/>
      <c r="AE220" s="148"/>
      <c r="AF220" s="148"/>
      <c r="AG220" s="148" t="s">
        <v>613</v>
      </c>
      <c r="AH220" s="148"/>
      <c r="AI220" s="148"/>
      <c r="AJ220" s="148" t="s">
        <v>614</v>
      </c>
      <c r="AK220" s="148" t="s">
        <v>614</v>
      </c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</row>
    <row r="221" ht="14.25" customHeight="1">
      <c r="A221" s="134"/>
      <c r="B221" s="135"/>
      <c r="C221" s="58"/>
      <c r="D221" s="166"/>
      <c r="E221" s="60"/>
      <c r="F221" s="60"/>
      <c r="G221" s="62"/>
      <c r="H221" s="63"/>
      <c r="I221" s="138"/>
      <c r="J221" s="63"/>
      <c r="K221" s="65"/>
      <c r="L221" s="66"/>
      <c r="M221" s="81"/>
      <c r="N221" s="167"/>
      <c r="O221" s="69">
        <f t="shared" si="34"/>
        <v>0</v>
      </c>
      <c r="P221" s="142"/>
      <c r="Q221" s="143"/>
      <c r="R221" s="74"/>
      <c r="S221" s="158"/>
      <c r="T221" s="146">
        <f t="shared" si="11"/>
        <v>0</v>
      </c>
      <c r="U221" s="146">
        <f t="shared" si="35"/>
        <v>0</v>
      </c>
      <c r="V221" s="147"/>
      <c r="W221" s="74" t="b">
        <v>0</v>
      </c>
      <c r="X221" s="74" t="b">
        <v>0</v>
      </c>
      <c r="Y221" s="74" t="b">
        <v>0</v>
      </c>
      <c r="Z221" s="148" t="str">
        <f>IFERROR(__xludf.DUMMYFUNCTION("""COMPUTED_VALUE"""),"")</f>
        <v/>
      </c>
      <c r="AA221" s="148" t="str">
        <f>IFERROR(__xludf.DUMMYFUNCTION("""COMPUTED_VALUE"""),"")</f>
        <v/>
      </c>
      <c r="AB221" s="148" t="str">
        <f>IFERROR(__xludf.DUMMYFUNCTION("""COMPUTED_VALUE"""),"")</f>
        <v/>
      </c>
      <c r="AC221" s="148"/>
      <c r="AD221" s="149"/>
      <c r="AE221" s="148"/>
      <c r="AF221" s="148"/>
      <c r="AG221" s="148" t="s">
        <v>613</v>
      </c>
      <c r="AH221" s="148"/>
      <c r="AI221" s="148"/>
      <c r="AJ221" s="148" t="s">
        <v>614</v>
      </c>
      <c r="AK221" s="148" t="s">
        <v>614</v>
      </c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</row>
    <row r="222" ht="14.25" customHeight="1">
      <c r="A222" s="134"/>
      <c r="B222" s="135"/>
      <c r="C222" s="58"/>
      <c r="D222" s="166"/>
      <c r="E222" s="60"/>
      <c r="F222" s="60"/>
      <c r="G222" s="62"/>
      <c r="H222" s="63"/>
      <c r="I222" s="138"/>
      <c r="J222" s="63"/>
      <c r="K222" s="65"/>
      <c r="L222" s="66"/>
      <c r="M222" s="81"/>
      <c r="N222" s="167"/>
      <c r="O222" s="69">
        <f t="shared" si="34"/>
        <v>0</v>
      </c>
      <c r="P222" s="142"/>
      <c r="Q222" s="143"/>
      <c r="R222" s="74"/>
      <c r="S222" s="158"/>
      <c r="T222" s="146">
        <f t="shared" si="11"/>
        <v>0</v>
      </c>
      <c r="U222" s="146">
        <f t="shared" si="35"/>
        <v>0</v>
      </c>
      <c r="V222" s="147"/>
      <c r="W222" s="74" t="b">
        <v>0</v>
      </c>
      <c r="X222" s="74" t="b">
        <v>0</v>
      </c>
      <c r="Y222" s="74" t="b">
        <v>0</v>
      </c>
      <c r="Z222" s="148" t="str">
        <f>IFERROR(__xludf.DUMMYFUNCTION("""COMPUTED_VALUE"""),"")</f>
        <v/>
      </c>
      <c r="AA222" s="148" t="str">
        <f>IFERROR(__xludf.DUMMYFUNCTION("""COMPUTED_VALUE"""),"")</f>
        <v/>
      </c>
      <c r="AB222" s="148" t="str">
        <f>IFERROR(__xludf.DUMMYFUNCTION("""COMPUTED_VALUE"""),"")</f>
        <v/>
      </c>
      <c r="AC222" s="148"/>
      <c r="AD222" s="149"/>
      <c r="AE222" s="148"/>
      <c r="AF222" s="148"/>
      <c r="AG222" s="148" t="s">
        <v>613</v>
      </c>
      <c r="AH222" s="148"/>
      <c r="AI222" s="148"/>
      <c r="AJ222" s="148" t="s">
        <v>614</v>
      </c>
      <c r="AK222" s="148" t="s">
        <v>614</v>
      </c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</row>
    <row r="223" ht="14.25" customHeight="1">
      <c r="A223" s="134"/>
      <c r="B223" s="135"/>
      <c r="C223" s="58"/>
      <c r="D223" s="166"/>
      <c r="E223" s="60"/>
      <c r="F223" s="60"/>
      <c r="G223" s="62"/>
      <c r="H223" s="154"/>
      <c r="I223" s="138"/>
      <c r="J223" s="63"/>
      <c r="K223" s="65"/>
      <c r="L223" s="66"/>
      <c r="M223" s="81"/>
      <c r="N223" s="167"/>
      <c r="O223" s="69">
        <f t="shared" si="34"/>
        <v>0</v>
      </c>
      <c r="P223" s="142"/>
      <c r="Q223" s="143"/>
      <c r="R223" s="74"/>
      <c r="S223" s="158"/>
      <c r="T223" s="146">
        <f t="shared" si="11"/>
        <v>0</v>
      </c>
      <c r="U223" s="146">
        <f t="shared" ref="U223:U224" si="36">round((O223*48)+(550*N223),-1)</f>
        <v>0</v>
      </c>
      <c r="V223" s="147"/>
      <c r="W223" s="74" t="b">
        <v>0</v>
      </c>
      <c r="X223" s="74" t="b">
        <v>0</v>
      </c>
      <c r="Y223" s="74" t="b">
        <v>0</v>
      </c>
      <c r="Z223" s="148" t="str">
        <f>IFERROR(__xludf.DUMMYFUNCTION("""COMPUTED_VALUE"""),"")</f>
        <v/>
      </c>
      <c r="AA223" s="148" t="str">
        <f>IFERROR(__xludf.DUMMYFUNCTION("""COMPUTED_VALUE"""),"")</f>
        <v/>
      </c>
      <c r="AB223" s="148" t="str">
        <f>IFERROR(__xludf.DUMMYFUNCTION("""COMPUTED_VALUE"""),"")</f>
        <v/>
      </c>
      <c r="AC223" s="148"/>
      <c r="AD223" s="149"/>
      <c r="AE223" s="148"/>
      <c r="AF223" s="148"/>
      <c r="AG223" s="148" t="s">
        <v>613</v>
      </c>
      <c r="AH223" s="148"/>
      <c r="AI223" s="148"/>
      <c r="AJ223" s="148" t="s">
        <v>614</v>
      </c>
      <c r="AK223" s="148" t="s">
        <v>614</v>
      </c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</row>
    <row r="224" ht="14.25" customHeight="1">
      <c r="A224" s="134"/>
      <c r="B224" s="135"/>
      <c r="C224" s="58"/>
      <c r="D224" s="166"/>
      <c r="E224" s="60"/>
      <c r="F224" s="60"/>
      <c r="G224" s="62"/>
      <c r="H224" s="63"/>
      <c r="I224" s="138"/>
      <c r="J224" s="63"/>
      <c r="K224" s="65"/>
      <c r="L224" s="66"/>
      <c r="M224" s="169"/>
      <c r="N224" s="170"/>
      <c r="O224" s="69">
        <f t="shared" si="34"/>
        <v>0</v>
      </c>
      <c r="P224" s="142"/>
      <c r="Q224" s="143"/>
      <c r="R224" s="74"/>
      <c r="S224" s="158"/>
      <c r="T224" s="146">
        <f t="shared" si="11"/>
        <v>0</v>
      </c>
      <c r="U224" s="146">
        <f t="shared" si="36"/>
        <v>0</v>
      </c>
      <c r="V224" s="147"/>
      <c r="W224" s="74" t="b">
        <v>0</v>
      </c>
      <c r="X224" s="74" t="b">
        <v>0</v>
      </c>
      <c r="Y224" s="74" t="b">
        <v>0</v>
      </c>
      <c r="Z224" s="148" t="str">
        <f>IFERROR(__xludf.DUMMYFUNCTION("""COMPUTED_VALUE"""),"")</f>
        <v/>
      </c>
      <c r="AA224" s="148" t="str">
        <f>IFERROR(__xludf.DUMMYFUNCTION("""COMPUTED_VALUE"""),"")</f>
        <v/>
      </c>
      <c r="AB224" s="148" t="str">
        <f>IFERROR(__xludf.DUMMYFUNCTION("""COMPUTED_VALUE"""),"")</f>
        <v/>
      </c>
      <c r="AC224" s="148"/>
      <c r="AD224" s="149"/>
      <c r="AE224" s="148"/>
      <c r="AF224" s="148"/>
      <c r="AG224" s="148" t="s">
        <v>613</v>
      </c>
      <c r="AH224" s="148"/>
      <c r="AI224" s="148"/>
      <c r="AJ224" s="148" t="s">
        <v>614</v>
      </c>
      <c r="AK224" s="148" t="s">
        <v>614</v>
      </c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</row>
    <row r="225" ht="14.25" customHeight="1">
      <c r="A225" s="134"/>
      <c r="B225" s="135"/>
      <c r="C225" s="58"/>
      <c r="D225" s="166"/>
      <c r="E225" s="60"/>
      <c r="F225" s="60"/>
      <c r="G225" s="90"/>
      <c r="H225" s="63"/>
      <c r="I225" s="138"/>
      <c r="J225" s="63"/>
      <c r="K225" s="65"/>
      <c r="L225" s="66"/>
      <c r="M225" s="81"/>
      <c r="N225" s="167"/>
      <c r="O225" s="69">
        <f t="shared" si="34"/>
        <v>0</v>
      </c>
      <c r="P225" s="142"/>
      <c r="Q225" s="143"/>
      <c r="R225" s="74"/>
      <c r="S225" s="158"/>
      <c r="T225" s="146">
        <f t="shared" si="11"/>
        <v>0</v>
      </c>
      <c r="U225" s="146">
        <f>round((O225*89)+(10*N225),-1)</f>
        <v>0</v>
      </c>
      <c r="V225" s="147"/>
      <c r="W225" s="74" t="b">
        <v>0</v>
      </c>
      <c r="X225" s="74" t="b">
        <v>0</v>
      </c>
      <c r="Y225" s="74" t="b">
        <v>0</v>
      </c>
      <c r="Z225" s="148" t="str">
        <f>IFERROR(__xludf.DUMMYFUNCTION("""COMPUTED_VALUE"""),"")</f>
        <v/>
      </c>
      <c r="AA225" s="148" t="str">
        <f>IFERROR(__xludf.DUMMYFUNCTION("""COMPUTED_VALUE"""),"")</f>
        <v/>
      </c>
      <c r="AB225" s="148" t="str">
        <f>IFERROR(__xludf.DUMMYFUNCTION("""COMPUTED_VALUE"""),"")</f>
        <v/>
      </c>
      <c r="AC225" s="148"/>
      <c r="AD225" s="149"/>
      <c r="AE225" s="148"/>
      <c r="AF225" s="148"/>
      <c r="AG225" s="148" t="s">
        <v>613</v>
      </c>
      <c r="AH225" s="148"/>
      <c r="AI225" s="148"/>
      <c r="AJ225" s="148" t="s">
        <v>614</v>
      </c>
      <c r="AK225" s="148" t="s">
        <v>614</v>
      </c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</row>
    <row r="226" ht="14.25" customHeight="1">
      <c r="A226" s="134"/>
      <c r="B226" s="135"/>
      <c r="C226" s="58"/>
      <c r="D226" s="166"/>
      <c r="E226" s="60"/>
      <c r="F226" s="60"/>
      <c r="G226" s="62"/>
      <c r="H226" s="63"/>
      <c r="I226" s="138"/>
      <c r="J226" s="63"/>
      <c r="K226" s="65"/>
      <c r="L226" s="66"/>
      <c r="M226" s="81"/>
      <c r="N226" s="167"/>
      <c r="O226" s="69">
        <f t="shared" si="34"/>
        <v>0</v>
      </c>
      <c r="P226" s="142"/>
      <c r="Q226" s="143"/>
      <c r="R226" s="74"/>
      <c r="S226" s="158"/>
      <c r="T226" s="146">
        <f t="shared" si="11"/>
        <v>0</v>
      </c>
      <c r="U226" s="146">
        <f>round((O226*89)+(550*N226),-1)</f>
        <v>0</v>
      </c>
      <c r="V226" s="147"/>
      <c r="W226" s="74" t="b">
        <v>0</v>
      </c>
      <c r="X226" s="74" t="b">
        <v>0</v>
      </c>
      <c r="Y226" s="74" t="b">
        <v>0</v>
      </c>
      <c r="Z226" s="148" t="str">
        <f>IFERROR(__xludf.DUMMYFUNCTION("""COMPUTED_VALUE"""),"")</f>
        <v/>
      </c>
      <c r="AA226" s="148" t="str">
        <f>IFERROR(__xludf.DUMMYFUNCTION("""COMPUTED_VALUE"""),"")</f>
        <v/>
      </c>
      <c r="AB226" s="148" t="str">
        <f>IFERROR(__xludf.DUMMYFUNCTION("""COMPUTED_VALUE"""),"")</f>
        <v/>
      </c>
      <c r="AC226" s="148"/>
      <c r="AD226" s="149"/>
      <c r="AE226" s="148"/>
      <c r="AF226" s="148"/>
      <c r="AG226" s="148" t="s">
        <v>613</v>
      </c>
      <c r="AH226" s="148"/>
      <c r="AI226" s="148"/>
      <c r="AJ226" s="148" t="s">
        <v>614</v>
      </c>
      <c r="AK226" s="148" t="s">
        <v>614</v>
      </c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</row>
    <row r="227" ht="14.25" customHeight="1">
      <c r="A227" s="134"/>
      <c r="B227" s="135"/>
      <c r="C227" s="58"/>
      <c r="D227" s="166"/>
      <c r="E227" s="60"/>
      <c r="F227" s="60"/>
      <c r="G227" s="90"/>
      <c r="H227" s="154"/>
      <c r="I227" s="138"/>
      <c r="J227" s="63"/>
      <c r="K227" s="65"/>
      <c r="L227" s="66"/>
      <c r="M227" s="81"/>
      <c r="N227" s="167"/>
      <c r="O227" s="69">
        <f t="shared" si="34"/>
        <v>0</v>
      </c>
      <c r="P227" s="142"/>
      <c r="Q227" s="143"/>
      <c r="R227" s="74"/>
      <c r="S227" s="158"/>
      <c r="T227" s="146">
        <f t="shared" si="11"/>
        <v>0</v>
      </c>
      <c r="U227" s="146">
        <f t="shared" ref="U227:U228" si="37">round((O227*119)+(550*N227),-1)</f>
        <v>0</v>
      </c>
      <c r="V227" s="147"/>
      <c r="W227" s="74" t="b">
        <v>0</v>
      </c>
      <c r="X227" s="74" t="b">
        <v>0</v>
      </c>
      <c r="Y227" s="74" t="b">
        <v>0</v>
      </c>
      <c r="Z227" s="148" t="str">
        <f>IFERROR(__xludf.DUMMYFUNCTION("""COMPUTED_VALUE"""),"")</f>
        <v/>
      </c>
      <c r="AA227" s="148" t="str">
        <f>IFERROR(__xludf.DUMMYFUNCTION("""COMPUTED_VALUE"""),"")</f>
        <v/>
      </c>
      <c r="AB227" s="148" t="str">
        <f>IFERROR(__xludf.DUMMYFUNCTION("""COMPUTED_VALUE"""),"")</f>
        <v/>
      </c>
      <c r="AC227" s="148"/>
      <c r="AD227" s="149"/>
      <c r="AE227" s="148"/>
      <c r="AF227" s="148"/>
      <c r="AG227" s="148" t="s">
        <v>613</v>
      </c>
      <c r="AH227" s="148"/>
      <c r="AI227" s="148"/>
      <c r="AJ227" s="148" t="s">
        <v>614</v>
      </c>
      <c r="AK227" s="148" t="s">
        <v>614</v>
      </c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</row>
    <row r="228" ht="14.25" customHeight="1">
      <c r="A228" s="134"/>
      <c r="B228" s="135"/>
      <c r="C228" s="58"/>
      <c r="D228" s="166"/>
      <c r="E228" s="60"/>
      <c r="F228" s="60"/>
      <c r="G228" s="90"/>
      <c r="H228" s="154"/>
      <c r="I228" s="138"/>
      <c r="J228" s="63"/>
      <c r="K228" s="65"/>
      <c r="L228" s="66"/>
      <c r="M228" s="81"/>
      <c r="N228" s="167"/>
      <c r="O228" s="69">
        <f t="shared" si="34"/>
        <v>0</v>
      </c>
      <c r="P228" s="142"/>
      <c r="Q228" s="143"/>
      <c r="R228" s="74"/>
      <c r="S228" s="158"/>
      <c r="T228" s="146">
        <f t="shared" si="11"/>
        <v>0</v>
      </c>
      <c r="U228" s="146">
        <f t="shared" si="37"/>
        <v>0</v>
      </c>
      <c r="V228" s="147"/>
      <c r="W228" s="74" t="b">
        <v>0</v>
      </c>
      <c r="X228" s="74" t="b">
        <v>0</v>
      </c>
      <c r="Y228" s="74" t="b">
        <v>0</v>
      </c>
      <c r="Z228" s="148" t="str">
        <f>IFERROR(__xludf.DUMMYFUNCTION("""COMPUTED_VALUE"""),"")</f>
        <v/>
      </c>
      <c r="AA228" s="148" t="str">
        <f>IFERROR(__xludf.DUMMYFUNCTION("""COMPUTED_VALUE"""),"")</f>
        <v/>
      </c>
      <c r="AB228" s="148" t="str">
        <f>IFERROR(__xludf.DUMMYFUNCTION("""COMPUTED_VALUE"""),"")</f>
        <v/>
      </c>
      <c r="AC228" s="148"/>
      <c r="AD228" s="149"/>
      <c r="AE228" s="148"/>
      <c r="AF228" s="148"/>
      <c r="AG228" s="148" t="s">
        <v>613</v>
      </c>
      <c r="AH228" s="148"/>
      <c r="AI228" s="148"/>
      <c r="AJ228" s="148" t="s">
        <v>614</v>
      </c>
      <c r="AK228" s="148" t="s">
        <v>614</v>
      </c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</row>
    <row r="229" ht="14.25" customHeight="1">
      <c r="A229" s="134"/>
      <c r="B229" s="135"/>
      <c r="C229" s="58"/>
      <c r="D229" s="166"/>
      <c r="E229" s="60"/>
      <c r="F229" s="60"/>
      <c r="G229" s="90"/>
      <c r="H229" s="63"/>
      <c r="I229" s="138"/>
      <c r="J229" s="63"/>
      <c r="K229" s="65"/>
      <c r="L229" s="66"/>
      <c r="M229" s="81"/>
      <c r="N229" s="167"/>
      <c r="O229" s="69">
        <f t="shared" si="34"/>
        <v>0</v>
      </c>
      <c r="P229" s="142"/>
      <c r="Q229" s="143"/>
      <c r="R229" s="74"/>
      <c r="S229" s="158"/>
      <c r="T229" s="146">
        <f t="shared" si="11"/>
        <v>0</v>
      </c>
      <c r="U229" s="146">
        <f t="shared" ref="U229:U241" si="38">round((O229*89)+(550*N229),-1)</f>
        <v>0</v>
      </c>
      <c r="V229" s="147"/>
      <c r="W229" s="74" t="b">
        <v>0</v>
      </c>
      <c r="X229" s="74" t="b">
        <v>0</v>
      </c>
      <c r="Y229" s="74" t="b">
        <v>0</v>
      </c>
      <c r="Z229" s="148" t="str">
        <f>IFERROR(__xludf.DUMMYFUNCTION("""COMPUTED_VALUE"""),"")</f>
        <v/>
      </c>
      <c r="AA229" s="148" t="str">
        <f>IFERROR(__xludf.DUMMYFUNCTION("""COMPUTED_VALUE"""),"")</f>
        <v/>
      </c>
      <c r="AB229" s="148" t="str">
        <f>IFERROR(__xludf.DUMMYFUNCTION("""COMPUTED_VALUE"""),"")</f>
        <v/>
      </c>
      <c r="AC229" s="148"/>
      <c r="AD229" s="149"/>
      <c r="AE229" s="148"/>
      <c r="AF229" s="148"/>
      <c r="AG229" s="148" t="s">
        <v>613</v>
      </c>
      <c r="AH229" s="148"/>
      <c r="AI229" s="148"/>
      <c r="AJ229" s="148" t="s">
        <v>614</v>
      </c>
      <c r="AK229" s="148" t="s">
        <v>614</v>
      </c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</row>
    <row r="230" ht="14.25" customHeight="1">
      <c r="A230" s="134"/>
      <c r="B230" s="135"/>
      <c r="C230" s="58"/>
      <c r="D230" s="166"/>
      <c r="E230" s="60"/>
      <c r="F230" s="60"/>
      <c r="G230" s="90"/>
      <c r="H230" s="63"/>
      <c r="I230" s="138"/>
      <c r="J230" s="63"/>
      <c r="K230" s="65"/>
      <c r="L230" s="66"/>
      <c r="M230" s="81"/>
      <c r="N230" s="167"/>
      <c r="O230" s="69">
        <f t="shared" si="34"/>
        <v>0</v>
      </c>
      <c r="P230" s="142"/>
      <c r="Q230" s="143"/>
      <c r="R230" s="74"/>
      <c r="S230" s="158"/>
      <c r="T230" s="146">
        <f t="shared" si="11"/>
        <v>0</v>
      </c>
      <c r="U230" s="146">
        <f t="shared" si="38"/>
        <v>0</v>
      </c>
      <c r="V230" s="147"/>
      <c r="W230" s="74" t="b">
        <v>0</v>
      </c>
      <c r="X230" s="74" t="b">
        <v>0</v>
      </c>
      <c r="Y230" s="74" t="b">
        <v>0</v>
      </c>
      <c r="Z230" s="148" t="str">
        <f>IFERROR(__xludf.DUMMYFUNCTION("""COMPUTED_VALUE"""),"")</f>
        <v/>
      </c>
      <c r="AA230" s="148" t="str">
        <f>IFERROR(__xludf.DUMMYFUNCTION("""COMPUTED_VALUE"""),"")</f>
        <v/>
      </c>
      <c r="AB230" s="148" t="str">
        <f>IFERROR(__xludf.DUMMYFUNCTION("""COMPUTED_VALUE"""),"")</f>
        <v/>
      </c>
      <c r="AC230" s="148"/>
      <c r="AD230" s="149"/>
      <c r="AE230" s="148"/>
      <c r="AF230" s="148"/>
      <c r="AG230" s="148" t="s">
        <v>613</v>
      </c>
      <c r="AH230" s="148"/>
      <c r="AI230" s="148"/>
      <c r="AJ230" s="148" t="s">
        <v>614</v>
      </c>
      <c r="AK230" s="148" t="s">
        <v>614</v>
      </c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</row>
    <row r="231" ht="14.25" customHeight="1">
      <c r="A231" s="134"/>
      <c r="B231" s="135"/>
      <c r="C231" s="58"/>
      <c r="D231" s="166"/>
      <c r="E231" s="60"/>
      <c r="F231" s="60"/>
      <c r="G231" s="90"/>
      <c r="H231" s="63"/>
      <c r="I231" s="138"/>
      <c r="J231" s="63"/>
      <c r="K231" s="65"/>
      <c r="L231" s="66"/>
      <c r="M231" s="81"/>
      <c r="N231" s="167"/>
      <c r="O231" s="69">
        <f t="shared" si="34"/>
        <v>0</v>
      </c>
      <c r="P231" s="142"/>
      <c r="Q231" s="143"/>
      <c r="R231" s="74"/>
      <c r="S231" s="158"/>
      <c r="T231" s="146">
        <f t="shared" si="11"/>
        <v>0</v>
      </c>
      <c r="U231" s="146">
        <f t="shared" si="38"/>
        <v>0</v>
      </c>
      <c r="V231" s="147"/>
      <c r="W231" s="74" t="b">
        <v>0</v>
      </c>
      <c r="X231" s="74" t="b">
        <v>0</v>
      </c>
      <c r="Y231" s="74" t="b">
        <v>0</v>
      </c>
      <c r="Z231" s="148" t="str">
        <f>IFERROR(__xludf.DUMMYFUNCTION("""COMPUTED_VALUE"""),"")</f>
        <v/>
      </c>
      <c r="AA231" s="148" t="str">
        <f>IFERROR(__xludf.DUMMYFUNCTION("""COMPUTED_VALUE"""),"")</f>
        <v/>
      </c>
      <c r="AB231" s="148" t="str">
        <f>IFERROR(__xludf.DUMMYFUNCTION("""COMPUTED_VALUE"""),"")</f>
        <v/>
      </c>
      <c r="AC231" s="148"/>
      <c r="AD231" s="149"/>
      <c r="AE231" s="148"/>
      <c r="AF231" s="148"/>
      <c r="AG231" s="148" t="s">
        <v>613</v>
      </c>
      <c r="AH231" s="148"/>
      <c r="AI231" s="148"/>
      <c r="AJ231" s="148" t="s">
        <v>614</v>
      </c>
      <c r="AK231" s="148" t="s">
        <v>614</v>
      </c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</row>
    <row r="232" ht="14.25" customHeight="1">
      <c r="A232" s="134"/>
      <c r="B232" s="135"/>
      <c r="C232" s="58"/>
      <c r="D232" s="166"/>
      <c r="E232" s="60"/>
      <c r="F232" s="60"/>
      <c r="G232" s="90"/>
      <c r="H232" s="63"/>
      <c r="I232" s="138"/>
      <c r="J232" s="63"/>
      <c r="K232" s="65"/>
      <c r="L232" s="66"/>
      <c r="M232" s="81"/>
      <c r="N232" s="167"/>
      <c r="O232" s="69">
        <f t="shared" si="34"/>
        <v>0</v>
      </c>
      <c r="P232" s="142"/>
      <c r="Q232" s="143"/>
      <c r="R232" s="74"/>
      <c r="S232" s="158"/>
      <c r="T232" s="146">
        <f t="shared" si="11"/>
        <v>0</v>
      </c>
      <c r="U232" s="146">
        <f t="shared" si="38"/>
        <v>0</v>
      </c>
      <c r="V232" s="147"/>
      <c r="W232" s="74" t="b">
        <v>0</v>
      </c>
      <c r="X232" s="74" t="b">
        <v>0</v>
      </c>
      <c r="Y232" s="74" t="b">
        <v>0</v>
      </c>
      <c r="Z232" s="148" t="str">
        <f>IFERROR(__xludf.DUMMYFUNCTION("""COMPUTED_VALUE"""),"")</f>
        <v/>
      </c>
      <c r="AA232" s="148" t="str">
        <f>IFERROR(__xludf.DUMMYFUNCTION("""COMPUTED_VALUE"""),"")</f>
        <v/>
      </c>
      <c r="AB232" s="148" t="str">
        <f>IFERROR(__xludf.DUMMYFUNCTION("""COMPUTED_VALUE"""),"")</f>
        <v/>
      </c>
      <c r="AC232" s="148"/>
      <c r="AD232" s="149"/>
      <c r="AE232" s="148"/>
      <c r="AF232" s="148"/>
      <c r="AG232" s="148" t="s">
        <v>613</v>
      </c>
      <c r="AH232" s="148"/>
      <c r="AI232" s="148"/>
      <c r="AJ232" s="148" t="s">
        <v>614</v>
      </c>
      <c r="AK232" s="148" t="s">
        <v>614</v>
      </c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</row>
    <row r="233" ht="14.25" customHeight="1">
      <c r="A233" s="134"/>
      <c r="B233" s="135"/>
      <c r="C233" s="58"/>
      <c r="D233" s="166"/>
      <c r="E233" s="60"/>
      <c r="F233" s="60"/>
      <c r="G233" s="90"/>
      <c r="H233" s="63"/>
      <c r="I233" s="138"/>
      <c r="J233" s="63"/>
      <c r="K233" s="65"/>
      <c r="L233" s="66"/>
      <c r="M233" s="81"/>
      <c r="N233" s="167"/>
      <c r="O233" s="69">
        <f t="shared" si="34"/>
        <v>0</v>
      </c>
      <c r="P233" s="142"/>
      <c r="Q233" s="143"/>
      <c r="R233" s="74"/>
      <c r="S233" s="158"/>
      <c r="T233" s="146">
        <f t="shared" si="11"/>
        <v>0</v>
      </c>
      <c r="U233" s="146">
        <f t="shared" si="38"/>
        <v>0</v>
      </c>
      <c r="V233" s="147"/>
      <c r="W233" s="74" t="b">
        <v>0</v>
      </c>
      <c r="X233" s="74" t="b">
        <v>0</v>
      </c>
      <c r="Y233" s="74" t="b">
        <v>0</v>
      </c>
      <c r="Z233" s="148" t="str">
        <f>IFERROR(__xludf.DUMMYFUNCTION("""COMPUTED_VALUE"""),"")</f>
        <v/>
      </c>
      <c r="AA233" s="148" t="str">
        <f>IFERROR(__xludf.DUMMYFUNCTION("""COMPUTED_VALUE"""),"")</f>
        <v/>
      </c>
      <c r="AB233" s="148" t="str">
        <f>IFERROR(__xludf.DUMMYFUNCTION("""COMPUTED_VALUE"""),"")</f>
        <v/>
      </c>
      <c r="AC233" s="148"/>
      <c r="AD233" s="149"/>
      <c r="AE233" s="148"/>
      <c r="AF233" s="148"/>
      <c r="AG233" s="148" t="s">
        <v>613</v>
      </c>
      <c r="AH233" s="148"/>
      <c r="AI233" s="148"/>
      <c r="AJ233" s="148" t="s">
        <v>614</v>
      </c>
      <c r="AK233" s="148" t="s">
        <v>614</v>
      </c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</row>
    <row r="234" ht="14.25" customHeight="1">
      <c r="A234" s="134"/>
      <c r="B234" s="135"/>
      <c r="C234" s="58"/>
      <c r="D234" s="166"/>
      <c r="E234" s="60"/>
      <c r="F234" s="60"/>
      <c r="G234" s="90"/>
      <c r="H234" s="63"/>
      <c r="I234" s="138"/>
      <c r="J234" s="63"/>
      <c r="K234" s="65"/>
      <c r="L234" s="66"/>
      <c r="M234" s="81"/>
      <c r="N234" s="167"/>
      <c r="O234" s="69">
        <f t="shared" si="34"/>
        <v>0</v>
      </c>
      <c r="P234" s="142"/>
      <c r="Q234" s="143"/>
      <c r="R234" s="74"/>
      <c r="S234" s="158"/>
      <c r="T234" s="146">
        <f t="shared" si="11"/>
        <v>0</v>
      </c>
      <c r="U234" s="146">
        <f t="shared" si="38"/>
        <v>0</v>
      </c>
      <c r="V234" s="147"/>
      <c r="W234" s="74" t="b">
        <v>0</v>
      </c>
      <c r="X234" s="74" t="b">
        <v>0</v>
      </c>
      <c r="Y234" s="74" t="b">
        <v>0</v>
      </c>
      <c r="Z234" s="148" t="str">
        <f>IFERROR(__xludf.DUMMYFUNCTION("""COMPUTED_VALUE"""),"")</f>
        <v/>
      </c>
      <c r="AA234" s="148" t="str">
        <f>IFERROR(__xludf.DUMMYFUNCTION("""COMPUTED_VALUE"""),"")</f>
        <v/>
      </c>
      <c r="AB234" s="148" t="str">
        <f>IFERROR(__xludf.DUMMYFUNCTION("""COMPUTED_VALUE"""),"")</f>
        <v/>
      </c>
      <c r="AC234" s="148"/>
      <c r="AD234" s="149"/>
      <c r="AE234" s="148"/>
      <c r="AF234" s="148"/>
      <c r="AG234" s="148" t="s">
        <v>613</v>
      </c>
      <c r="AH234" s="148"/>
      <c r="AI234" s="148"/>
      <c r="AJ234" s="148" t="s">
        <v>614</v>
      </c>
      <c r="AK234" s="148" t="s">
        <v>614</v>
      </c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</row>
    <row r="235" ht="14.25" customHeight="1">
      <c r="A235" s="134"/>
      <c r="B235" s="135"/>
      <c r="C235" s="58"/>
      <c r="D235" s="166"/>
      <c r="E235" s="60"/>
      <c r="F235" s="60"/>
      <c r="G235" s="90"/>
      <c r="H235" s="63"/>
      <c r="I235" s="138"/>
      <c r="J235" s="63"/>
      <c r="K235" s="65"/>
      <c r="L235" s="66"/>
      <c r="M235" s="81"/>
      <c r="N235" s="167"/>
      <c r="O235" s="69">
        <f t="shared" si="34"/>
        <v>0</v>
      </c>
      <c r="P235" s="142"/>
      <c r="Q235" s="143"/>
      <c r="R235" s="74"/>
      <c r="S235" s="158"/>
      <c r="T235" s="146">
        <f t="shared" si="11"/>
        <v>0</v>
      </c>
      <c r="U235" s="146">
        <f t="shared" si="38"/>
        <v>0</v>
      </c>
      <c r="V235" s="147"/>
      <c r="W235" s="74" t="b">
        <v>0</v>
      </c>
      <c r="X235" s="74" t="b">
        <v>0</v>
      </c>
      <c r="Y235" s="74" t="b">
        <v>0</v>
      </c>
      <c r="Z235" s="148" t="str">
        <f>IFERROR(__xludf.DUMMYFUNCTION("""COMPUTED_VALUE"""),"")</f>
        <v/>
      </c>
      <c r="AA235" s="148" t="str">
        <f>IFERROR(__xludf.DUMMYFUNCTION("""COMPUTED_VALUE"""),"")</f>
        <v/>
      </c>
      <c r="AB235" s="148" t="str">
        <f>IFERROR(__xludf.DUMMYFUNCTION("""COMPUTED_VALUE"""),"")</f>
        <v/>
      </c>
      <c r="AC235" s="148"/>
      <c r="AD235" s="149"/>
      <c r="AE235" s="148"/>
      <c r="AF235" s="148"/>
      <c r="AG235" s="148" t="s">
        <v>613</v>
      </c>
      <c r="AH235" s="148"/>
      <c r="AI235" s="148"/>
      <c r="AJ235" s="148" t="s">
        <v>614</v>
      </c>
      <c r="AK235" s="148" t="s">
        <v>614</v>
      </c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</row>
    <row r="236" ht="14.25" customHeight="1">
      <c r="A236" s="134"/>
      <c r="B236" s="135"/>
      <c r="C236" s="58"/>
      <c r="D236" s="166"/>
      <c r="E236" s="60"/>
      <c r="F236" s="60"/>
      <c r="G236" s="90"/>
      <c r="H236" s="63"/>
      <c r="I236" s="138"/>
      <c r="J236" s="63"/>
      <c r="K236" s="65"/>
      <c r="L236" s="66"/>
      <c r="M236" s="81"/>
      <c r="N236" s="167"/>
      <c r="O236" s="69">
        <f t="shared" si="34"/>
        <v>0</v>
      </c>
      <c r="P236" s="142"/>
      <c r="Q236" s="143"/>
      <c r="R236" s="74"/>
      <c r="S236" s="158"/>
      <c r="T236" s="146">
        <f t="shared" si="11"/>
        <v>0</v>
      </c>
      <c r="U236" s="146">
        <f t="shared" si="38"/>
        <v>0</v>
      </c>
      <c r="V236" s="147"/>
      <c r="W236" s="74" t="b">
        <v>0</v>
      </c>
      <c r="X236" s="74" t="b">
        <v>0</v>
      </c>
      <c r="Y236" s="74" t="b">
        <v>0</v>
      </c>
      <c r="Z236" s="148" t="str">
        <f>IFERROR(__xludf.DUMMYFUNCTION("""COMPUTED_VALUE"""),"")</f>
        <v/>
      </c>
      <c r="AA236" s="148" t="str">
        <f>IFERROR(__xludf.DUMMYFUNCTION("""COMPUTED_VALUE"""),"")</f>
        <v/>
      </c>
      <c r="AB236" s="148" t="str">
        <f>IFERROR(__xludf.DUMMYFUNCTION("""COMPUTED_VALUE"""),"")</f>
        <v/>
      </c>
      <c r="AC236" s="148"/>
      <c r="AD236" s="149"/>
      <c r="AE236" s="148"/>
      <c r="AF236" s="148"/>
      <c r="AG236" s="148" t="s">
        <v>613</v>
      </c>
      <c r="AH236" s="148"/>
      <c r="AI236" s="148"/>
      <c r="AJ236" s="148" t="s">
        <v>614</v>
      </c>
      <c r="AK236" s="148" t="s">
        <v>614</v>
      </c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</row>
    <row r="237" ht="14.25" customHeight="1">
      <c r="A237" s="134"/>
      <c r="B237" s="135"/>
      <c r="C237" s="58"/>
      <c r="D237" s="166"/>
      <c r="E237" s="60"/>
      <c r="F237" s="60"/>
      <c r="G237" s="90"/>
      <c r="H237" s="63"/>
      <c r="I237" s="138"/>
      <c r="J237" s="63"/>
      <c r="K237" s="65"/>
      <c r="L237" s="66"/>
      <c r="M237" s="81"/>
      <c r="N237" s="167"/>
      <c r="O237" s="69">
        <f t="shared" si="34"/>
        <v>0</v>
      </c>
      <c r="P237" s="142"/>
      <c r="Q237" s="143"/>
      <c r="R237" s="74"/>
      <c r="S237" s="158"/>
      <c r="T237" s="146">
        <f t="shared" si="11"/>
        <v>0</v>
      </c>
      <c r="U237" s="146">
        <f t="shared" si="38"/>
        <v>0</v>
      </c>
      <c r="V237" s="147"/>
      <c r="W237" s="74" t="b">
        <v>0</v>
      </c>
      <c r="X237" s="74" t="b">
        <v>0</v>
      </c>
      <c r="Y237" s="74" t="b">
        <v>0</v>
      </c>
      <c r="Z237" s="148" t="str">
        <f>IFERROR(__xludf.DUMMYFUNCTION("""COMPUTED_VALUE"""),"")</f>
        <v/>
      </c>
      <c r="AA237" s="148" t="str">
        <f>IFERROR(__xludf.DUMMYFUNCTION("""COMPUTED_VALUE"""),"")</f>
        <v/>
      </c>
      <c r="AB237" s="148" t="str">
        <f>IFERROR(__xludf.DUMMYFUNCTION("""COMPUTED_VALUE"""),"")</f>
        <v/>
      </c>
      <c r="AC237" s="148"/>
      <c r="AD237" s="149"/>
      <c r="AE237" s="148"/>
      <c r="AF237" s="148"/>
      <c r="AG237" s="148" t="s">
        <v>613</v>
      </c>
      <c r="AH237" s="148"/>
      <c r="AI237" s="148"/>
      <c r="AJ237" s="148" t="s">
        <v>614</v>
      </c>
      <c r="AK237" s="148" t="s">
        <v>614</v>
      </c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</row>
    <row r="238" ht="14.25" customHeight="1">
      <c r="A238" s="134"/>
      <c r="B238" s="135"/>
      <c r="C238" s="58"/>
      <c r="D238" s="166"/>
      <c r="E238" s="60"/>
      <c r="F238" s="60"/>
      <c r="G238" s="90"/>
      <c r="H238" s="63"/>
      <c r="I238" s="138"/>
      <c r="J238" s="63"/>
      <c r="K238" s="65"/>
      <c r="L238" s="66"/>
      <c r="M238" s="81"/>
      <c r="N238" s="167"/>
      <c r="O238" s="69">
        <f t="shared" si="34"/>
        <v>0</v>
      </c>
      <c r="P238" s="142"/>
      <c r="Q238" s="143"/>
      <c r="R238" s="74"/>
      <c r="S238" s="158"/>
      <c r="T238" s="146">
        <f t="shared" si="11"/>
        <v>0</v>
      </c>
      <c r="U238" s="146">
        <f t="shared" si="38"/>
        <v>0</v>
      </c>
      <c r="V238" s="147"/>
      <c r="W238" s="74" t="b">
        <v>0</v>
      </c>
      <c r="X238" s="74" t="b">
        <v>0</v>
      </c>
      <c r="Y238" s="74" t="b">
        <v>0</v>
      </c>
      <c r="Z238" s="148" t="str">
        <f>IFERROR(__xludf.DUMMYFUNCTION("""COMPUTED_VALUE"""),"")</f>
        <v/>
      </c>
      <c r="AA238" s="148" t="str">
        <f>IFERROR(__xludf.DUMMYFUNCTION("""COMPUTED_VALUE"""),"")</f>
        <v/>
      </c>
      <c r="AB238" s="148" t="str">
        <f>IFERROR(__xludf.DUMMYFUNCTION("""COMPUTED_VALUE"""),"")</f>
        <v/>
      </c>
      <c r="AC238" s="148"/>
      <c r="AD238" s="149"/>
      <c r="AE238" s="148"/>
      <c r="AF238" s="148"/>
      <c r="AG238" s="148" t="s">
        <v>613</v>
      </c>
      <c r="AH238" s="148"/>
      <c r="AI238" s="148"/>
      <c r="AJ238" s="148" t="s">
        <v>614</v>
      </c>
      <c r="AK238" s="148" t="s">
        <v>614</v>
      </c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</row>
    <row r="239" ht="14.25" customHeight="1">
      <c r="A239" s="134"/>
      <c r="B239" s="135"/>
      <c r="C239" s="58"/>
      <c r="D239" s="166"/>
      <c r="E239" s="60"/>
      <c r="F239" s="60"/>
      <c r="G239" s="90"/>
      <c r="H239" s="63"/>
      <c r="I239" s="138"/>
      <c r="J239" s="63"/>
      <c r="K239" s="65"/>
      <c r="L239" s="66"/>
      <c r="M239" s="81"/>
      <c r="N239" s="167"/>
      <c r="O239" s="69">
        <f t="shared" si="34"/>
        <v>0</v>
      </c>
      <c r="P239" s="142"/>
      <c r="Q239" s="143"/>
      <c r="R239" s="74"/>
      <c r="S239" s="158"/>
      <c r="T239" s="146">
        <f t="shared" si="11"/>
        <v>0</v>
      </c>
      <c r="U239" s="146">
        <f t="shared" si="38"/>
        <v>0</v>
      </c>
      <c r="V239" s="147"/>
      <c r="W239" s="74" t="b">
        <v>0</v>
      </c>
      <c r="X239" s="74" t="b">
        <v>0</v>
      </c>
      <c r="Y239" s="74" t="b">
        <v>0</v>
      </c>
      <c r="Z239" s="148" t="str">
        <f>IFERROR(__xludf.DUMMYFUNCTION("""COMPUTED_VALUE"""),"")</f>
        <v/>
      </c>
      <c r="AA239" s="148" t="str">
        <f>IFERROR(__xludf.DUMMYFUNCTION("""COMPUTED_VALUE"""),"")</f>
        <v/>
      </c>
      <c r="AB239" s="148" t="str">
        <f>IFERROR(__xludf.DUMMYFUNCTION("""COMPUTED_VALUE"""),"")</f>
        <v/>
      </c>
      <c r="AC239" s="148"/>
      <c r="AD239" s="149"/>
      <c r="AE239" s="148"/>
      <c r="AF239" s="148"/>
      <c r="AG239" s="148" t="s">
        <v>613</v>
      </c>
      <c r="AH239" s="148"/>
      <c r="AI239" s="148"/>
      <c r="AJ239" s="148" t="s">
        <v>614</v>
      </c>
      <c r="AK239" s="148" t="s">
        <v>614</v>
      </c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</row>
    <row r="240" ht="14.25" customHeight="1">
      <c r="A240" s="134"/>
      <c r="B240" s="135"/>
      <c r="C240" s="58"/>
      <c r="D240" s="166"/>
      <c r="E240" s="60"/>
      <c r="F240" s="60"/>
      <c r="G240" s="90"/>
      <c r="H240" s="63"/>
      <c r="I240" s="138"/>
      <c r="J240" s="63"/>
      <c r="K240" s="65"/>
      <c r="L240" s="66"/>
      <c r="M240" s="81"/>
      <c r="N240" s="167"/>
      <c r="O240" s="69">
        <f t="shared" si="34"/>
        <v>0</v>
      </c>
      <c r="P240" s="142"/>
      <c r="Q240" s="143"/>
      <c r="R240" s="74"/>
      <c r="S240" s="158"/>
      <c r="T240" s="146">
        <f t="shared" si="11"/>
        <v>0</v>
      </c>
      <c r="U240" s="146">
        <f t="shared" si="38"/>
        <v>0</v>
      </c>
      <c r="V240" s="147"/>
      <c r="W240" s="74" t="b">
        <v>0</v>
      </c>
      <c r="X240" s="74" t="b">
        <v>0</v>
      </c>
      <c r="Y240" s="74" t="b">
        <v>0</v>
      </c>
      <c r="Z240" s="148" t="str">
        <f>IFERROR(__xludf.DUMMYFUNCTION("""COMPUTED_VALUE"""),"")</f>
        <v/>
      </c>
      <c r="AA240" s="148" t="str">
        <f>IFERROR(__xludf.DUMMYFUNCTION("""COMPUTED_VALUE"""),"")</f>
        <v/>
      </c>
      <c r="AB240" s="148" t="str">
        <f>IFERROR(__xludf.DUMMYFUNCTION("""COMPUTED_VALUE"""),"")</f>
        <v/>
      </c>
      <c r="AC240" s="148"/>
      <c r="AD240" s="149"/>
      <c r="AE240" s="148"/>
      <c r="AF240" s="148"/>
      <c r="AG240" s="148" t="s">
        <v>613</v>
      </c>
      <c r="AH240" s="148"/>
      <c r="AI240" s="148"/>
      <c r="AJ240" s="148" t="s">
        <v>614</v>
      </c>
      <c r="AK240" s="148" t="s">
        <v>614</v>
      </c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</row>
    <row r="241" ht="14.25" customHeight="1">
      <c r="A241" s="134"/>
      <c r="B241" s="135"/>
      <c r="C241" s="58"/>
      <c r="D241" s="166"/>
      <c r="E241" s="60"/>
      <c r="F241" s="60"/>
      <c r="G241" s="90"/>
      <c r="H241" s="63"/>
      <c r="I241" s="138"/>
      <c r="J241" s="63"/>
      <c r="K241" s="65"/>
      <c r="L241" s="66"/>
      <c r="M241" s="81"/>
      <c r="N241" s="167"/>
      <c r="O241" s="69">
        <f t="shared" si="34"/>
        <v>0</v>
      </c>
      <c r="P241" s="142"/>
      <c r="Q241" s="143"/>
      <c r="R241" s="74"/>
      <c r="S241" s="158"/>
      <c r="T241" s="146">
        <f t="shared" si="11"/>
        <v>0</v>
      </c>
      <c r="U241" s="146">
        <f t="shared" si="38"/>
        <v>0</v>
      </c>
      <c r="V241" s="147"/>
      <c r="W241" s="74" t="b">
        <v>0</v>
      </c>
      <c r="X241" s="74" t="b">
        <v>0</v>
      </c>
      <c r="Y241" s="74" t="b">
        <v>0</v>
      </c>
      <c r="Z241" s="148" t="str">
        <f>IFERROR(__xludf.DUMMYFUNCTION("""COMPUTED_VALUE"""),"")</f>
        <v/>
      </c>
      <c r="AA241" s="148" t="str">
        <f>IFERROR(__xludf.DUMMYFUNCTION("""COMPUTED_VALUE"""),"")</f>
        <v/>
      </c>
      <c r="AB241" s="148" t="str">
        <f>IFERROR(__xludf.DUMMYFUNCTION("""COMPUTED_VALUE"""),"")</f>
        <v/>
      </c>
      <c r="AC241" s="148"/>
      <c r="AD241" s="149"/>
      <c r="AE241" s="148"/>
      <c r="AF241" s="148"/>
      <c r="AG241" s="148" t="s">
        <v>613</v>
      </c>
      <c r="AH241" s="148"/>
      <c r="AI241" s="148"/>
      <c r="AJ241" s="148" t="s">
        <v>614</v>
      </c>
      <c r="AK241" s="148" t="s">
        <v>614</v>
      </c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</row>
    <row r="242" ht="14.25" customHeight="1">
      <c r="A242" s="134"/>
      <c r="B242" s="135"/>
      <c r="C242" s="58"/>
      <c r="D242" s="166"/>
      <c r="E242" s="60"/>
      <c r="F242" s="60"/>
      <c r="G242" s="90"/>
      <c r="H242" s="154"/>
      <c r="I242" s="138"/>
      <c r="J242" s="63"/>
      <c r="K242" s="65"/>
      <c r="L242" s="66"/>
      <c r="M242" s="81"/>
      <c r="N242" s="167"/>
      <c r="O242" s="69">
        <f t="shared" si="34"/>
        <v>0</v>
      </c>
      <c r="P242" s="142"/>
      <c r="Q242" s="143"/>
      <c r="R242" s="74"/>
      <c r="S242" s="158"/>
      <c r="T242" s="146">
        <f t="shared" si="11"/>
        <v>0</v>
      </c>
      <c r="U242" s="146">
        <f>round((O242*48)+(550*N242),-1)</f>
        <v>0</v>
      </c>
      <c r="V242" s="147"/>
      <c r="W242" s="74" t="b">
        <v>0</v>
      </c>
      <c r="X242" s="74" t="b">
        <v>0</v>
      </c>
      <c r="Y242" s="74" t="b">
        <v>0</v>
      </c>
      <c r="Z242" s="148" t="str">
        <f>IFERROR(__xludf.DUMMYFUNCTION("""COMPUTED_VALUE"""),"")</f>
        <v/>
      </c>
      <c r="AA242" s="148" t="str">
        <f>IFERROR(__xludf.DUMMYFUNCTION("""COMPUTED_VALUE"""),"")</f>
        <v/>
      </c>
      <c r="AB242" s="148" t="str">
        <f>IFERROR(__xludf.DUMMYFUNCTION("""COMPUTED_VALUE"""),"")</f>
        <v/>
      </c>
      <c r="AC242" s="148"/>
      <c r="AD242" s="149"/>
      <c r="AE242" s="148"/>
      <c r="AF242" s="148"/>
      <c r="AG242" s="148" t="s">
        <v>613</v>
      </c>
      <c r="AH242" s="148"/>
      <c r="AI242" s="148"/>
      <c r="AJ242" s="148" t="s">
        <v>614</v>
      </c>
      <c r="AK242" s="148" t="s">
        <v>614</v>
      </c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</row>
    <row r="243" ht="14.25" customHeight="1">
      <c r="A243" s="134"/>
      <c r="B243" s="135"/>
      <c r="C243" s="58"/>
      <c r="D243" s="166"/>
      <c r="E243" s="60"/>
      <c r="F243" s="60"/>
      <c r="G243" s="90"/>
      <c r="H243" s="63"/>
      <c r="I243" s="138"/>
      <c r="J243" s="63"/>
      <c r="K243" s="65"/>
      <c r="L243" s="66"/>
      <c r="M243" s="81"/>
      <c r="N243" s="167"/>
      <c r="O243" s="69">
        <f t="shared" si="34"/>
        <v>0</v>
      </c>
      <c r="P243" s="142"/>
      <c r="Q243" s="143"/>
      <c r="R243" s="74"/>
      <c r="S243" s="158"/>
      <c r="T243" s="146">
        <f t="shared" si="11"/>
        <v>0</v>
      </c>
      <c r="U243" s="146">
        <f t="shared" ref="U243:U247" si="39">round((O243*89)+(550*N243),-1)</f>
        <v>0</v>
      </c>
      <c r="V243" s="147"/>
      <c r="W243" s="74" t="b">
        <v>0</v>
      </c>
      <c r="X243" s="74" t="b">
        <v>0</v>
      </c>
      <c r="Y243" s="74" t="b">
        <v>0</v>
      </c>
      <c r="Z243" s="148" t="str">
        <f>IFERROR(__xludf.DUMMYFUNCTION("""COMPUTED_VALUE"""),"")</f>
        <v/>
      </c>
      <c r="AA243" s="148" t="str">
        <f>IFERROR(__xludf.DUMMYFUNCTION("""COMPUTED_VALUE"""),"")</f>
        <v/>
      </c>
      <c r="AB243" s="148" t="str">
        <f>IFERROR(__xludf.DUMMYFUNCTION("""COMPUTED_VALUE"""),"")</f>
        <v/>
      </c>
      <c r="AC243" s="148"/>
      <c r="AD243" s="149"/>
      <c r="AE243" s="148"/>
      <c r="AF243" s="148"/>
      <c r="AG243" s="148" t="s">
        <v>613</v>
      </c>
      <c r="AH243" s="148"/>
      <c r="AI243" s="148"/>
      <c r="AJ243" s="148" t="s">
        <v>614</v>
      </c>
      <c r="AK243" s="148" t="s">
        <v>614</v>
      </c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</row>
    <row r="244" ht="14.25" customHeight="1">
      <c r="A244" s="134"/>
      <c r="B244" s="135"/>
      <c r="C244" s="58"/>
      <c r="D244" s="166"/>
      <c r="E244" s="60"/>
      <c r="F244" s="60"/>
      <c r="G244" s="90"/>
      <c r="H244" s="63"/>
      <c r="I244" s="138"/>
      <c r="J244" s="63"/>
      <c r="K244" s="65"/>
      <c r="L244" s="66"/>
      <c r="M244" s="81"/>
      <c r="N244" s="167"/>
      <c r="O244" s="69">
        <f t="shared" si="34"/>
        <v>0</v>
      </c>
      <c r="P244" s="142"/>
      <c r="Q244" s="143"/>
      <c r="R244" s="74"/>
      <c r="S244" s="158"/>
      <c r="T244" s="146">
        <f t="shared" si="11"/>
        <v>0</v>
      </c>
      <c r="U244" s="146">
        <f t="shared" si="39"/>
        <v>0</v>
      </c>
      <c r="V244" s="147"/>
      <c r="W244" s="74" t="b">
        <v>0</v>
      </c>
      <c r="X244" s="74" t="b">
        <v>0</v>
      </c>
      <c r="Y244" s="74" t="b">
        <v>0</v>
      </c>
      <c r="Z244" s="148" t="str">
        <f>IFERROR(__xludf.DUMMYFUNCTION("""COMPUTED_VALUE"""),"")</f>
        <v/>
      </c>
      <c r="AA244" s="148" t="str">
        <f>IFERROR(__xludf.DUMMYFUNCTION("""COMPUTED_VALUE"""),"")</f>
        <v/>
      </c>
      <c r="AB244" s="148" t="str">
        <f>IFERROR(__xludf.DUMMYFUNCTION("""COMPUTED_VALUE"""),"")</f>
        <v/>
      </c>
      <c r="AC244" s="148"/>
      <c r="AD244" s="149"/>
      <c r="AE244" s="148"/>
      <c r="AF244" s="148"/>
      <c r="AG244" s="148" t="s">
        <v>613</v>
      </c>
      <c r="AH244" s="148"/>
      <c r="AI244" s="148"/>
      <c r="AJ244" s="148" t="s">
        <v>614</v>
      </c>
      <c r="AK244" s="148" t="s">
        <v>614</v>
      </c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</row>
    <row r="245" ht="14.25" customHeight="1">
      <c r="A245" s="134"/>
      <c r="B245" s="135"/>
      <c r="C245" s="58"/>
      <c r="D245" s="166"/>
      <c r="E245" s="60"/>
      <c r="F245" s="60"/>
      <c r="G245" s="90"/>
      <c r="H245" s="63"/>
      <c r="I245" s="138"/>
      <c r="J245" s="63"/>
      <c r="K245" s="65"/>
      <c r="L245" s="66"/>
      <c r="M245" s="81"/>
      <c r="N245" s="167"/>
      <c r="O245" s="69">
        <f t="shared" si="34"/>
        <v>0</v>
      </c>
      <c r="P245" s="142"/>
      <c r="Q245" s="143"/>
      <c r="R245" s="74"/>
      <c r="S245" s="158"/>
      <c r="T245" s="146">
        <f t="shared" si="11"/>
        <v>0</v>
      </c>
      <c r="U245" s="146">
        <f t="shared" si="39"/>
        <v>0</v>
      </c>
      <c r="V245" s="147"/>
      <c r="W245" s="74" t="b">
        <v>0</v>
      </c>
      <c r="X245" s="74" t="b">
        <v>0</v>
      </c>
      <c r="Y245" s="74" t="b">
        <v>0</v>
      </c>
      <c r="Z245" s="148" t="str">
        <f>IFERROR(__xludf.DUMMYFUNCTION("""COMPUTED_VALUE"""),"")</f>
        <v/>
      </c>
      <c r="AA245" s="148" t="str">
        <f>IFERROR(__xludf.DUMMYFUNCTION("""COMPUTED_VALUE"""),"")</f>
        <v/>
      </c>
      <c r="AB245" s="148" t="str">
        <f>IFERROR(__xludf.DUMMYFUNCTION("""COMPUTED_VALUE"""),"")</f>
        <v/>
      </c>
      <c r="AC245" s="148"/>
      <c r="AD245" s="149"/>
      <c r="AE245" s="148"/>
      <c r="AF245" s="148"/>
      <c r="AG245" s="148" t="s">
        <v>613</v>
      </c>
      <c r="AH245" s="148"/>
      <c r="AI245" s="148"/>
      <c r="AJ245" s="148" t="s">
        <v>614</v>
      </c>
      <c r="AK245" s="148" t="s">
        <v>614</v>
      </c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</row>
    <row r="246" ht="14.25" customHeight="1">
      <c r="A246" s="134"/>
      <c r="B246" s="135"/>
      <c r="C246" s="58"/>
      <c r="D246" s="166"/>
      <c r="E246" s="60"/>
      <c r="F246" s="60"/>
      <c r="G246" s="90"/>
      <c r="H246" s="63"/>
      <c r="I246" s="138"/>
      <c r="J246" s="63"/>
      <c r="K246" s="65"/>
      <c r="L246" s="66"/>
      <c r="M246" s="81"/>
      <c r="N246" s="167"/>
      <c r="O246" s="69">
        <f t="shared" si="34"/>
        <v>0</v>
      </c>
      <c r="P246" s="142"/>
      <c r="Q246" s="143"/>
      <c r="R246" s="74"/>
      <c r="S246" s="158"/>
      <c r="T246" s="146">
        <f t="shared" si="11"/>
        <v>0</v>
      </c>
      <c r="U246" s="146">
        <f t="shared" si="39"/>
        <v>0</v>
      </c>
      <c r="V246" s="147"/>
      <c r="W246" s="74" t="b">
        <v>0</v>
      </c>
      <c r="X246" s="74" t="b">
        <v>0</v>
      </c>
      <c r="Y246" s="74" t="b">
        <v>0</v>
      </c>
      <c r="Z246" s="148" t="str">
        <f>IFERROR(__xludf.DUMMYFUNCTION("""COMPUTED_VALUE"""),"")</f>
        <v/>
      </c>
      <c r="AA246" s="148" t="str">
        <f>IFERROR(__xludf.DUMMYFUNCTION("""COMPUTED_VALUE"""),"")</f>
        <v/>
      </c>
      <c r="AB246" s="148" t="str">
        <f>IFERROR(__xludf.DUMMYFUNCTION("""COMPUTED_VALUE"""),"")</f>
        <v/>
      </c>
      <c r="AC246" s="148"/>
      <c r="AD246" s="149"/>
      <c r="AE246" s="148"/>
      <c r="AF246" s="148"/>
      <c r="AG246" s="148" t="s">
        <v>613</v>
      </c>
      <c r="AH246" s="148"/>
      <c r="AI246" s="148"/>
      <c r="AJ246" s="148" t="s">
        <v>614</v>
      </c>
      <c r="AK246" s="148" t="s">
        <v>614</v>
      </c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</row>
    <row r="247" ht="14.25" customHeight="1">
      <c r="A247" s="134"/>
      <c r="B247" s="135"/>
      <c r="C247" s="58"/>
      <c r="D247" s="166"/>
      <c r="E247" s="60"/>
      <c r="F247" s="60"/>
      <c r="G247" s="90"/>
      <c r="H247" s="63"/>
      <c r="I247" s="138"/>
      <c r="J247" s="63"/>
      <c r="K247" s="65"/>
      <c r="L247" s="66"/>
      <c r="M247" s="81"/>
      <c r="N247" s="167"/>
      <c r="O247" s="69">
        <f t="shared" si="34"/>
        <v>0</v>
      </c>
      <c r="P247" s="142"/>
      <c r="Q247" s="143"/>
      <c r="R247" s="74"/>
      <c r="S247" s="158"/>
      <c r="T247" s="146">
        <f t="shared" si="11"/>
        <v>0</v>
      </c>
      <c r="U247" s="146">
        <f t="shared" si="39"/>
        <v>0</v>
      </c>
      <c r="V247" s="147"/>
      <c r="W247" s="74" t="b">
        <v>0</v>
      </c>
      <c r="X247" s="74" t="b">
        <v>0</v>
      </c>
      <c r="Y247" s="74" t="b">
        <v>0</v>
      </c>
      <c r="Z247" s="148" t="str">
        <f>IFERROR(__xludf.DUMMYFUNCTION("""COMPUTED_VALUE"""),"")</f>
        <v/>
      </c>
      <c r="AA247" s="148" t="str">
        <f>IFERROR(__xludf.DUMMYFUNCTION("""COMPUTED_VALUE"""),"")</f>
        <v/>
      </c>
      <c r="AB247" s="148" t="str">
        <f>IFERROR(__xludf.DUMMYFUNCTION("""COMPUTED_VALUE"""),"")</f>
        <v/>
      </c>
      <c r="AC247" s="148"/>
      <c r="AD247" s="149"/>
      <c r="AE247" s="148"/>
      <c r="AF247" s="148"/>
      <c r="AG247" s="148" t="s">
        <v>613</v>
      </c>
      <c r="AH247" s="148"/>
      <c r="AI247" s="148"/>
      <c r="AJ247" s="148" t="s">
        <v>614</v>
      </c>
      <c r="AK247" s="148" t="s">
        <v>614</v>
      </c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</row>
    <row r="248" ht="14.25" customHeight="1">
      <c r="A248" s="134"/>
      <c r="B248" s="135"/>
      <c r="C248" s="58"/>
      <c r="D248" s="166"/>
      <c r="E248" s="60"/>
      <c r="F248" s="60"/>
      <c r="G248" s="90"/>
      <c r="H248" s="154"/>
      <c r="I248" s="138"/>
      <c r="J248" s="63"/>
      <c r="K248" s="65"/>
      <c r="L248" s="66"/>
      <c r="M248" s="81"/>
      <c r="N248" s="167"/>
      <c r="O248" s="69">
        <f t="shared" si="34"/>
        <v>0</v>
      </c>
      <c r="P248" s="142"/>
      <c r="Q248" s="143"/>
      <c r="R248" s="74"/>
      <c r="S248" s="158"/>
      <c r="T248" s="146">
        <f t="shared" si="11"/>
        <v>0</v>
      </c>
      <c r="U248" s="146">
        <f>round((O248*119)+(550*N248),-1)</f>
        <v>0</v>
      </c>
      <c r="V248" s="147"/>
      <c r="W248" s="74" t="b">
        <v>0</v>
      </c>
      <c r="X248" s="74" t="b">
        <v>0</v>
      </c>
      <c r="Y248" s="74" t="b">
        <v>0</v>
      </c>
      <c r="Z248" s="148" t="str">
        <f>IFERROR(__xludf.DUMMYFUNCTION("""COMPUTED_VALUE"""),"")</f>
        <v/>
      </c>
      <c r="AA248" s="148" t="str">
        <f>IFERROR(__xludf.DUMMYFUNCTION("""COMPUTED_VALUE"""),"")</f>
        <v/>
      </c>
      <c r="AB248" s="148" t="str">
        <f>IFERROR(__xludf.DUMMYFUNCTION("""COMPUTED_VALUE"""),"")</f>
        <v/>
      </c>
      <c r="AC248" s="148"/>
      <c r="AD248" s="149"/>
      <c r="AE248" s="148"/>
      <c r="AF248" s="148"/>
      <c r="AG248" s="148" t="s">
        <v>613</v>
      </c>
      <c r="AH248" s="148"/>
      <c r="AI248" s="148"/>
      <c r="AJ248" s="148" t="s">
        <v>614</v>
      </c>
      <c r="AK248" s="148" t="s">
        <v>614</v>
      </c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</row>
    <row r="249" ht="14.25" customHeight="1">
      <c r="A249" s="134"/>
      <c r="B249" s="135"/>
      <c r="C249" s="58"/>
      <c r="D249" s="166"/>
      <c r="E249" s="60"/>
      <c r="F249" s="60"/>
      <c r="G249" s="90"/>
      <c r="H249" s="154"/>
      <c r="I249" s="138"/>
      <c r="J249" s="63"/>
      <c r="K249" s="65"/>
      <c r="L249" s="66"/>
      <c r="M249" s="81"/>
      <c r="N249" s="167"/>
      <c r="O249" s="69">
        <f t="shared" si="34"/>
        <v>0</v>
      </c>
      <c r="P249" s="142"/>
      <c r="Q249" s="143"/>
      <c r="R249" s="74"/>
      <c r="S249" s="158"/>
      <c r="T249" s="146">
        <f t="shared" si="11"/>
        <v>0</v>
      </c>
      <c r="U249" s="146">
        <f>round((O249*69)+(550*N249),-1)</f>
        <v>0</v>
      </c>
      <c r="V249" s="147"/>
      <c r="W249" s="74" t="b">
        <v>0</v>
      </c>
      <c r="X249" s="74" t="b">
        <v>0</v>
      </c>
      <c r="Y249" s="74" t="b">
        <v>0</v>
      </c>
      <c r="Z249" s="148" t="str">
        <f>IFERROR(__xludf.DUMMYFUNCTION("""COMPUTED_VALUE"""),"")</f>
        <v/>
      </c>
      <c r="AA249" s="148" t="str">
        <f>IFERROR(__xludf.DUMMYFUNCTION("""COMPUTED_VALUE"""),"")</f>
        <v/>
      </c>
      <c r="AB249" s="148" t="str">
        <f>IFERROR(__xludf.DUMMYFUNCTION("""COMPUTED_VALUE"""),"")</f>
        <v/>
      </c>
      <c r="AC249" s="148"/>
      <c r="AD249" s="149"/>
      <c r="AE249" s="148"/>
      <c r="AF249" s="148"/>
      <c r="AG249" s="148" t="s">
        <v>613</v>
      </c>
      <c r="AH249" s="148"/>
      <c r="AI249" s="148"/>
      <c r="AJ249" s="148" t="s">
        <v>614</v>
      </c>
      <c r="AK249" s="148" t="s">
        <v>614</v>
      </c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</row>
    <row r="250" ht="14.25" customHeight="1">
      <c r="A250" s="134"/>
      <c r="B250" s="135"/>
      <c r="C250" s="58"/>
      <c r="D250" s="166"/>
      <c r="E250" s="60"/>
      <c r="F250" s="60"/>
      <c r="G250" s="90"/>
      <c r="H250" s="154"/>
      <c r="I250" s="138"/>
      <c r="J250" s="63"/>
      <c r="K250" s="65"/>
      <c r="L250" s="66"/>
      <c r="M250" s="81"/>
      <c r="N250" s="167"/>
      <c r="O250" s="69">
        <f t="shared" si="34"/>
        <v>0</v>
      </c>
      <c r="P250" s="142"/>
      <c r="Q250" s="143"/>
      <c r="R250" s="74"/>
      <c r="S250" s="158"/>
      <c r="T250" s="146">
        <f t="shared" si="11"/>
        <v>0</v>
      </c>
      <c r="U250" s="146">
        <f>round((O250*119)+(550*N250),-1)</f>
        <v>0</v>
      </c>
      <c r="V250" s="147"/>
      <c r="W250" s="74" t="b">
        <v>0</v>
      </c>
      <c r="X250" s="74" t="b">
        <v>0</v>
      </c>
      <c r="Y250" s="74" t="b">
        <v>0</v>
      </c>
      <c r="Z250" s="148" t="str">
        <f>IFERROR(__xludf.DUMMYFUNCTION("""COMPUTED_VALUE"""),"")</f>
        <v/>
      </c>
      <c r="AA250" s="148" t="str">
        <f>IFERROR(__xludf.DUMMYFUNCTION("""COMPUTED_VALUE"""),"")</f>
        <v/>
      </c>
      <c r="AB250" s="148" t="str">
        <f>IFERROR(__xludf.DUMMYFUNCTION("""COMPUTED_VALUE"""),"")</f>
        <v/>
      </c>
      <c r="AC250" s="148"/>
      <c r="AD250" s="149"/>
      <c r="AE250" s="148"/>
      <c r="AF250" s="148"/>
      <c r="AG250" s="148" t="s">
        <v>613</v>
      </c>
      <c r="AH250" s="148"/>
      <c r="AI250" s="148"/>
      <c r="AJ250" s="148" t="s">
        <v>614</v>
      </c>
      <c r="AK250" s="148" t="s">
        <v>614</v>
      </c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</row>
    <row r="251" ht="14.25" customHeight="1">
      <c r="A251" s="134"/>
      <c r="B251" s="135"/>
      <c r="C251" s="77"/>
      <c r="D251" s="161"/>
      <c r="E251" s="60"/>
      <c r="F251" s="60"/>
      <c r="G251" s="62"/>
      <c r="H251" s="63"/>
      <c r="I251" s="155"/>
      <c r="J251" s="85"/>
      <c r="K251" s="80"/>
      <c r="L251" s="66"/>
      <c r="M251" s="156"/>
      <c r="N251" s="157"/>
      <c r="O251" s="69">
        <f t="shared" si="34"/>
        <v>0</v>
      </c>
      <c r="P251" s="151"/>
      <c r="Q251" s="143"/>
      <c r="R251" s="74"/>
      <c r="S251" s="158"/>
      <c r="T251" s="146">
        <f t="shared" si="11"/>
        <v>0</v>
      </c>
      <c r="U251" s="146">
        <f t="shared" ref="U251:U255" si="40">round((O251*89)+(550*N251),-1)</f>
        <v>0</v>
      </c>
      <c r="V251" s="147"/>
      <c r="W251" s="74" t="b">
        <v>0</v>
      </c>
      <c r="X251" s="74" t="b">
        <v>0</v>
      </c>
      <c r="Y251" s="74" t="b">
        <v>0</v>
      </c>
      <c r="Z251" s="148" t="str">
        <f>IFERROR(__xludf.DUMMYFUNCTION("""COMPUTED_VALUE"""),"")</f>
        <v/>
      </c>
      <c r="AA251" s="148" t="str">
        <f>IFERROR(__xludf.DUMMYFUNCTION("""COMPUTED_VALUE"""),"")</f>
        <v/>
      </c>
      <c r="AB251" s="148" t="str">
        <f>IFERROR(__xludf.DUMMYFUNCTION("""COMPUTED_VALUE"""),"")</f>
        <v/>
      </c>
      <c r="AC251" s="148"/>
      <c r="AD251" s="153"/>
      <c r="AE251" s="148"/>
      <c r="AF251" s="47"/>
      <c r="AG251" s="148" t="s">
        <v>613</v>
      </c>
      <c r="AH251" s="148"/>
      <c r="AI251" s="148"/>
      <c r="AJ251" s="148" t="s">
        <v>614</v>
      </c>
      <c r="AK251" s="148" t="s">
        <v>614</v>
      </c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</row>
    <row r="252" ht="14.25" customHeight="1">
      <c r="A252" s="134"/>
      <c r="B252" s="135"/>
      <c r="C252" s="77"/>
      <c r="D252" s="161"/>
      <c r="E252" s="60"/>
      <c r="F252" s="60"/>
      <c r="G252" s="62"/>
      <c r="H252" s="63"/>
      <c r="I252" s="155"/>
      <c r="J252" s="85"/>
      <c r="K252" s="80"/>
      <c r="L252" s="66"/>
      <c r="M252" s="156"/>
      <c r="N252" s="157"/>
      <c r="O252" s="69">
        <f t="shared" si="34"/>
        <v>0</v>
      </c>
      <c r="P252" s="151"/>
      <c r="Q252" s="143"/>
      <c r="R252" s="74"/>
      <c r="S252" s="158"/>
      <c r="T252" s="146">
        <f t="shared" si="11"/>
        <v>0</v>
      </c>
      <c r="U252" s="146">
        <f t="shared" si="40"/>
        <v>0</v>
      </c>
      <c r="V252" s="147"/>
      <c r="W252" s="74" t="b">
        <v>0</v>
      </c>
      <c r="X252" s="74" t="b">
        <v>0</v>
      </c>
      <c r="Y252" s="74" t="b">
        <v>0</v>
      </c>
      <c r="Z252" s="148" t="str">
        <f>IFERROR(__xludf.DUMMYFUNCTION("""COMPUTED_VALUE"""),"")</f>
        <v/>
      </c>
      <c r="AA252" s="148" t="str">
        <f>IFERROR(__xludf.DUMMYFUNCTION("""COMPUTED_VALUE"""),"")</f>
        <v/>
      </c>
      <c r="AB252" s="148" t="str">
        <f>IFERROR(__xludf.DUMMYFUNCTION("""COMPUTED_VALUE"""),"")</f>
        <v/>
      </c>
      <c r="AC252" s="148"/>
      <c r="AD252" s="153"/>
      <c r="AE252" s="148"/>
      <c r="AF252" s="47"/>
      <c r="AG252" s="148" t="s">
        <v>613</v>
      </c>
      <c r="AH252" s="148"/>
      <c r="AI252" s="148"/>
      <c r="AJ252" s="148" t="s">
        <v>614</v>
      </c>
      <c r="AK252" s="148" t="s">
        <v>614</v>
      </c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</row>
    <row r="253" ht="14.25" customHeight="1">
      <c r="A253" s="134"/>
      <c r="B253" s="135"/>
      <c r="C253" s="77"/>
      <c r="D253" s="161"/>
      <c r="E253" s="60"/>
      <c r="F253" s="60"/>
      <c r="G253" s="62"/>
      <c r="H253" s="63"/>
      <c r="I253" s="155"/>
      <c r="J253" s="85"/>
      <c r="K253" s="80"/>
      <c r="L253" s="66"/>
      <c r="M253" s="156"/>
      <c r="N253" s="157"/>
      <c r="O253" s="69">
        <f t="shared" si="34"/>
        <v>0</v>
      </c>
      <c r="P253" s="151"/>
      <c r="Q253" s="143"/>
      <c r="R253" s="74"/>
      <c r="S253" s="158"/>
      <c r="T253" s="146">
        <f t="shared" si="11"/>
        <v>0</v>
      </c>
      <c r="U253" s="146">
        <f t="shared" si="40"/>
        <v>0</v>
      </c>
      <c r="V253" s="147"/>
      <c r="W253" s="74" t="b">
        <v>0</v>
      </c>
      <c r="X253" s="74" t="b">
        <v>0</v>
      </c>
      <c r="Y253" s="74" t="b">
        <v>0</v>
      </c>
      <c r="Z253" s="148" t="str">
        <f>IFERROR(__xludf.DUMMYFUNCTION("""COMPUTED_VALUE"""),"")</f>
        <v/>
      </c>
      <c r="AA253" s="148" t="str">
        <f>IFERROR(__xludf.DUMMYFUNCTION("""COMPUTED_VALUE"""),"")</f>
        <v/>
      </c>
      <c r="AB253" s="148" t="str">
        <f>IFERROR(__xludf.DUMMYFUNCTION("""COMPUTED_VALUE"""),"")</f>
        <v/>
      </c>
      <c r="AC253" s="148"/>
      <c r="AD253" s="153"/>
      <c r="AE253" s="148"/>
      <c r="AF253" s="47"/>
      <c r="AG253" s="148" t="s">
        <v>613</v>
      </c>
      <c r="AH253" s="148"/>
      <c r="AI253" s="148"/>
      <c r="AJ253" s="148" t="s">
        <v>614</v>
      </c>
      <c r="AK253" s="148" t="s">
        <v>614</v>
      </c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</row>
    <row r="254" ht="14.25" customHeight="1">
      <c r="A254" s="134"/>
      <c r="B254" s="135"/>
      <c r="C254" s="77"/>
      <c r="D254" s="161"/>
      <c r="E254" s="60"/>
      <c r="F254" s="60"/>
      <c r="G254" s="62"/>
      <c r="H254" s="63"/>
      <c r="I254" s="155"/>
      <c r="J254" s="85"/>
      <c r="K254" s="80"/>
      <c r="L254" s="66"/>
      <c r="M254" s="156"/>
      <c r="N254" s="157"/>
      <c r="O254" s="69">
        <f t="shared" si="34"/>
        <v>0</v>
      </c>
      <c r="P254" s="151"/>
      <c r="Q254" s="143"/>
      <c r="R254" s="74"/>
      <c r="S254" s="158"/>
      <c r="T254" s="146">
        <f t="shared" si="11"/>
        <v>0</v>
      </c>
      <c r="U254" s="146">
        <f t="shared" si="40"/>
        <v>0</v>
      </c>
      <c r="V254" s="147"/>
      <c r="W254" s="74" t="b">
        <v>0</v>
      </c>
      <c r="X254" s="74" t="b">
        <v>0</v>
      </c>
      <c r="Y254" s="74" t="b">
        <v>0</v>
      </c>
      <c r="Z254" s="148" t="str">
        <f>IFERROR(__xludf.DUMMYFUNCTION("""COMPUTED_VALUE"""),"")</f>
        <v/>
      </c>
      <c r="AA254" s="148" t="str">
        <f>IFERROR(__xludf.DUMMYFUNCTION("""COMPUTED_VALUE"""),"")</f>
        <v/>
      </c>
      <c r="AB254" s="148" t="str">
        <f>IFERROR(__xludf.DUMMYFUNCTION("""COMPUTED_VALUE"""),"")</f>
        <v/>
      </c>
      <c r="AC254" s="148"/>
      <c r="AD254" s="153"/>
      <c r="AE254" s="148"/>
      <c r="AF254" s="47"/>
      <c r="AG254" s="148" t="s">
        <v>613</v>
      </c>
      <c r="AH254" s="148"/>
      <c r="AI254" s="148"/>
      <c r="AJ254" s="148" t="s">
        <v>614</v>
      </c>
      <c r="AK254" s="148" t="s">
        <v>614</v>
      </c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</row>
    <row r="255" ht="14.25" customHeight="1">
      <c r="A255" s="134"/>
      <c r="B255" s="135"/>
      <c r="C255" s="171"/>
      <c r="D255" s="166"/>
      <c r="E255" s="60"/>
      <c r="F255" s="60"/>
      <c r="G255" s="62"/>
      <c r="H255" s="63"/>
      <c r="I255" s="138"/>
      <c r="J255" s="63"/>
      <c r="K255" s="65"/>
      <c r="L255" s="66"/>
      <c r="M255" s="81"/>
      <c r="N255" s="167"/>
      <c r="O255" s="69">
        <f t="shared" si="34"/>
        <v>0</v>
      </c>
      <c r="P255" s="142"/>
      <c r="Q255" s="143"/>
      <c r="R255" s="74"/>
      <c r="S255" s="158"/>
      <c r="T255" s="146">
        <f t="shared" si="11"/>
        <v>0</v>
      </c>
      <c r="U255" s="146">
        <f t="shared" si="40"/>
        <v>0</v>
      </c>
      <c r="V255" s="147"/>
      <c r="W255" s="74" t="b">
        <v>0</v>
      </c>
      <c r="X255" s="74" t="b">
        <v>0</v>
      </c>
      <c r="Y255" s="74" t="b">
        <v>0</v>
      </c>
      <c r="Z255" s="148" t="str">
        <f>IFERROR(__xludf.DUMMYFUNCTION("""COMPUTED_VALUE"""),"")</f>
        <v/>
      </c>
      <c r="AA255" s="148" t="str">
        <f>IFERROR(__xludf.DUMMYFUNCTION("""COMPUTED_VALUE"""),"")</f>
        <v/>
      </c>
      <c r="AB255" s="148" t="str">
        <f>IFERROR(__xludf.DUMMYFUNCTION("""COMPUTED_VALUE"""),"")</f>
        <v/>
      </c>
      <c r="AC255" s="148"/>
      <c r="AD255" s="149"/>
      <c r="AE255" s="148"/>
      <c r="AF255" s="148"/>
      <c r="AG255" s="148" t="s">
        <v>613</v>
      </c>
      <c r="AH255" s="148"/>
      <c r="AI255" s="148"/>
      <c r="AJ255" s="148" t="s">
        <v>614</v>
      </c>
      <c r="AK255" s="148" t="s">
        <v>614</v>
      </c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</row>
    <row r="256" ht="14.25" customHeight="1">
      <c r="A256" s="134"/>
      <c r="B256" s="135"/>
      <c r="C256" s="77"/>
      <c r="D256" s="161"/>
      <c r="E256" s="60"/>
      <c r="F256" s="60"/>
      <c r="G256" s="62"/>
      <c r="H256" s="154"/>
      <c r="I256" s="155"/>
      <c r="J256" s="85"/>
      <c r="K256" s="80"/>
      <c r="L256" s="66"/>
      <c r="M256" s="156"/>
      <c r="N256" s="157"/>
      <c r="O256" s="69">
        <f t="shared" si="34"/>
        <v>0</v>
      </c>
      <c r="P256" s="142"/>
      <c r="Q256" s="143"/>
      <c r="R256" s="74"/>
      <c r="S256" s="158"/>
      <c r="T256" s="146">
        <f t="shared" si="11"/>
        <v>0</v>
      </c>
      <c r="U256" s="146">
        <f t="shared" ref="U256:U257" si="41">round((O256*69)+(10*N256),-1)</f>
        <v>0</v>
      </c>
      <c r="V256" s="147"/>
      <c r="W256" s="74" t="b">
        <v>0</v>
      </c>
      <c r="X256" s="74" t="b">
        <v>0</v>
      </c>
      <c r="Y256" s="74" t="b">
        <v>0</v>
      </c>
      <c r="Z256" s="148" t="str">
        <f>IFERROR(__xludf.DUMMYFUNCTION("""COMPUTED_VALUE"""),"")</f>
        <v/>
      </c>
      <c r="AA256" s="148" t="str">
        <f>IFERROR(__xludf.DUMMYFUNCTION("""COMPUTED_VALUE"""),"")</f>
        <v/>
      </c>
      <c r="AB256" s="148" t="str">
        <f>IFERROR(__xludf.DUMMYFUNCTION("""COMPUTED_VALUE"""),"")</f>
        <v/>
      </c>
      <c r="AC256" s="148"/>
      <c r="AD256" s="153"/>
      <c r="AE256" s="148"/>
      <c r="AF256" s="47"/>
      <c r="AG256" s="148" t="s">
        <v>613</v>
      </c>
      <c r="AH256" s="148"/>
      <c r="AI256" s="148"/>
      <c r="AJ256" s="148" t="s">
        <v>614</v>
      </c>
      <c r="AK256" s="148" t="s">
        <v>614</v>
      </c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</row>
    <row r="257" ht="14.25" customHeight="1">
      <c r="A257" s="134"/>
      <c r="B257" s="135"/>
      <c r="C257" s="77"/>
      <c r="D257" s="161"/>
      <c r="E257" s="60"/>
      <c r="F257" s="60"/>
      <c r="G257" s="62"/>
      <c r="H257" s="154"/>
      <c r="I257" s="155"/>
      <c r="J257" s="85"/>
      <c r="K257" s="80"/>
      <c r="L257" s="66"/>
      <c r="M257" s="156"/>
      <c r="N257" s="157"/>
      <c r="O257" s="69">
        <f t="shared" si="34"/>
        <v>0</v>
      </c>
      <c r="P257" s="142"/>
      <c r="Q257" s="143"/>
      <c r="R257" s="74"/>
      <c r="S257" s="158"/>
      <c r="T257" s="146">
        <f t="shared" si="11"/>
        <v>0</v>
      </c>
      <c r="U257" s="146">
        <f t="shared" si="41"/>
        <v>0</v>
      </c>
      <c r="V257" s="147"/>
      <c r="W257" s="74" t="b">
        <v>0</v>
      </c>
      <c r="X257" s="74" t="b">
        <v>0</v>
      </c>
      <c r="Y257" s="74" t="b">
        <v>0</v>
      </c>
      <c r="Z257" s="148" t="str">
        <f>IFERROR(__xludf.DUMMYFUNCTION("""COMPUTED_VALUE"""),"")</f>
        <v/>
      </c>
      <c r="AA257" s="148" t="str">
        <f>IFERROR(__xludf.DUMMYFUNCTION("""COMPUTED_VALUE"""),"")</f>
        <v/>
      </c>
      <c r="AB257" s="148" t="str">
        <f>IFERROR(__xludf.DUMMYFUNCTION("""COMPUTED_VALUE"""),"")</f>
        <v/>
      </c>
      <c r="AC257" s="148"/>
      <c r="AD257" s="153"/>
      <c r="AE257" s="148"/>
      <c r="AF257" s="47"/>
      <c r="AG257" s="148" t="s">
        <v>613</v>
      </c>
      <c r="AH257" s="148"/>
      <c r="AI257" s="148"/>
      <c r="AJ257" s="148" t="s">
        <v>614</v>
      </c>
      <c r="AK257" s="148" t="s">
        <v>614</v>
      </c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</row>
    <row r="258" ht="14.25" customHeight="1">
      <c r="A258" s="134"/>
      <c r="B258" s="172"/>
      <c r="C258" s="173"/>
      <c r="D258" s="161"/>
      <c r="E258" s="60"/>
      <c r="F258" s="60"/>
      <c r="G258" s="174"/>
      <c r="H258" s="63"/>
      <c r="I258" s="155"/>
      <c r="J258" s="175"/>
      <c r="K258" s="80"/>
      <c r="L258" s="66"/>
      <c r="M258" s="156"/>
      <c r="N258" s="157"/>
      <c r="O258" s="69">
        <f t="shared" si="34"/>
        <v>0</v>
      </c>
      <c r="P258" s="142"/>
      <c r="Q258" s="143"/>
      <c r="R258" s="74"/>
      <c r="S258" s="74"/>
      <c r="T258" s="146">
        <f t="shared" si="11"/>
        <v>0</v>
      </c>
      <c r="U258" s="146">
        <f t="shared" ref="U258:U264" si="42">round((O258*89)+(550*N258),-1)</f>
        <v>0</v>
      </c>
      <c r="V258" s="147"/>
      <c r="W258" s="74" t="b">
        <v>0</v>
      </c>
      <c r="X258" s="74" t="b">
        <v>0</v>
      </c>
      <c r="Y258" s="74" t="b">
        <v>0</v>
      </c>
      <c r="Z258" s="148" t="str">
        <f>IFERROR(__xludf.DUMMYFUNCTION("""COMPUTED_VALUE"""),"")</f>
        <v/>
      </c>
      <c r="AA258" s="148" t="str">
        <f>IFERROR(__xludf.DUMMYFUNCTION("""COMPUTED_VALUE"""),"")</f>
        <v/>
      </c>
      <c r="AB258" s="148" t="str">
        <f>IFERROR(__xludf.DUMMYFUNCTION("""COMPUTED_VALUE"""),"")</f>
        <v/>
      </c>
      <c r="AC258" s="148"/>
      <c r="AD258" s="153"/>
      <c r="AE258" s="148"/>
      <c r="AF258" s="47"/>
      <c r="AG258" s="148" t="s">
        <v>613</v>
      </c>
      <c r="AH258" s="148"/>
      <c r="AI258" s="148"/>
      <c r="AJ258" s="148" t="s">
        <v>614</v>
      </c>
      <c r="AK258" s="148" t="s">
        <v>614</v>
      </c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</row>
    <row r="259" ht="14.25" customHeight="1">
      <c r="A259" s="152"/>
      <c r="B259" s="135"/>
      <c r="C259" s="77"/>
      <c r="D259" s="161"/>
      <c r="E259" s="60"/>
      <c r="F259" s="60"/>
      <c r="G259" s="62"/>
      <c r="H259" s="63"/>
      <c r="I259" s="155"/>
      <c r="J259" s="85"/>
      <c r="K259" s="80"/>
      <c r="L259" s="66"/>
      <c r="M259" s="156"/>
      <c r="N259" s="157"/>
      <c r="O259" s="69">
        <f t="shared" si="34"/>
        <v>0</v>
      </c>
      <c r="P259" s="151"/>
      <c r="Q259" s="143"/>
      <c r="R259" s="74"/>
      <c r="S259" s="158"/>
      <c r="T259" s="146">
        <f t="shared" si="11"/>
        <v>0</v>
      </c>
      <c r="U259" s="146">
        <f t="shared" si="42"/>
        <v>0</v>
      </c>
      <c r="V259" s="147"/>
      <c r="W259" s="74" t="b">
        <v>0</v>
      </c>
      <c r="X259" s="74" t="b">
        <v>0</v>
      </c>
      <c r="Y259" s="74" t="b">
        <v>0</v>
      </c>
      <c r="Z259" s="148" t="str">
        <f>IFERROR(__xludf.DUMMYFUNCTION("""COMPUTED_VALUE"""),"")</f>
        <v/>
      </c>
      <c r="AA259" s="148" t="str">
        <f>IFERROR(__xludf.DUMMYFUNCTION("""COMPUTED_VALUE"""),"")</f>
        <v/>
      </c>
      <c r="AB259" s="148" t="str">
        <f>IFERROR(__xludf.DUMMYFUNCTION("""COMPUTED_VALUE"""),"")</f>
        <v/>
      </c>
      <c r="AC259" s="148"/>
      <c r="AD259" s="153"/>
      <c r="AE259" s="148"/>
      <c r="AF259" s="47"/>
      <c r="AG259" s="148" t="s">
        <v>613</v>
      </c>
      <c r="AH259" s="148"/>
      <c r="AI259" s="148"/>
      <c r="AJ259" s="148" t="s">
        <v>614</v>
      </c>
      <c r="AK259" s="148" t="s">
        <v>614</v>
      </c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</row>
    <row r="260" ht="14.25" customHeight="1">
      <c r="A260" s="152"/>
      <c r="B260" s="135"/>
      <c r="C260" s="77"/>
      <c r="D260" s="161"/>
      <c r="E260" s="60"/>
      <c r="F260" s="60"/>
      <c r="G260" s="62"/>
      <c r="H260" s="63"/>
      <c r="I260" s="155"/>
      <c r="J260" s="85"/>
      <c r="K260" s="80"/>
      <c r="L260" s="66"/>
      <c r="M260" s="156"/>
      <c r="N260" s="157"/>
      <c r="O260" s="69">
        <f t="shared" si="34"/>
        <v>0</v>
      </c>
      <c r="P260" s="151"/>
      <c r="Q260" s="143"/>
      <c r="R260" s="74"/>
      <c r="S260" s="158"/>
      <c r="T260" s="146">
        <f t="shared" si="11"/>
        <v>0</v>
      </c>
      <c r="U260" s="146">
        <f t="shared" si="42"/>
        <v>0</v>
      </c>
      <c r="V260" s="147"/>
      <c r="W260" s="74" t="b">
        <v>0</v>
      </c>
      <c r="X260" s="74" t="b">
        <v>0</v>
      </c>
      <c r="Y260" s="74" t="b">
        <v>0</v>
      </c>
      <c r="Z260" s="148" t="str">
        <f>IFERROR(__xludf.DUMMYFUNCTION("""COMPUTED_VALUE"""),"")</f>
        <v/>
      </c>
      <c r="AA260" s="148" t="str">
        <f>IFERROR(__xludf.DUMMYFUNCTION("""COMPUTED_VALUE"""),"")</f>
        <v/>
      </c>
      <c r="AB260" s="148" t="str">
        <f>IFERROR(__xludf.DUMMYFUNCTION("""COMPUTED_VALUE"""),"")</f>
        <v/>
      </c>
      <c r="AC260" s="148"/>
      <c r="AD260" s="153"/>
      <c r="AE260" s="148"/>
      <c r="AF260" s="47"/>
      <c r="AG260" s="148" t="s">
        <v>613</v>
      </c>
      <c r="AH260" s="148"/>
      <c r="AI260" s="148"/>
      <c r="AJ260" s="148" t="s">
        <v>614</v>
      </c>
      <c r="AK260" s="148" t="s">
        <v>614</v>
      </c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</row>
    <row r="261" ht="14.25" customHeight="1">
      <c r="A261" s="152"/>
      <c r="B261" s="135"/>
      <c r="C261" s="77"/>
      <c r="D261" s="161"/>
      <c r="E261" s="60"/>
      <c r="F261" s="60"/>
      <c r="G261" s="62"/>
      <c r="H261" s="63"/>
      <c r="I261" s="155"/>
      <c r="J261" s="85"/>
      <c r="K261" s="80"/>
      <c r="L261" s="66"/>
      <c r="M261" s="156"/>
      <c r="N261" s="157"/>
      <c r="O261" s="69">
        <f t="shared" si="34"/>
        <v>0</v>
      </c>
      <c r="P261" s="151"/>
      <c r="Q261" s="143"/>
      <c r="R261" s="74"/>
      <c r="S261" s="158"/>
      <c r="T261" s="146">
        <f t="shared" si="11"/>
        <v>0</v>
      </c>
      <c r="U261" s="146">
        <f t="shared" si="42"/>
        <v>0</v>
      </c>
      <c r="V261" s="147"/>
      <c r="W261" s="74" t="b">
        <v>0</v>
      </c>
      <c r="X261" s="74" t="b">
        <v>0</v>
      </c>
      <c r="Y261" s="74" t="b">
        <v>0</v>
      </c>
      <c r="Z261" s="148" t="str">
        <f>IFERROR(__xludf.DUMMYFUNCTION("""COMPUTED_VALUE"""),"")</f>
        <v/>
      </c>
      <c r="AA261" s="148" t="str">
        <f>IFERROR(__xludf.DUMMYFUNCTION("""COMPUTED_VALUE"""),"")</f>
        <v/>
      </c>
      <c r="AB261" s="148" t="str">
        <f>IFERROR(__xludf.DUMMYFUNCTION("""COMPUTED_VALUE"""),"")</f>
        <v/>
      </c>
      <c r="AC261" s="148"/>
      <c r="AD261" s="153"/>
      <c r="AE261" s="148"/>
      <c r="AF261" s="47"/>
      <c r="AG261" s="148" t="s">
        <v>613</v>
      </c>
      <c r="AH261" s="148"/>
      <c r="AI261" s="148"/>
      <c r="AJ261" s="148" t="s">
        <v>614</v>
      </c>
      <c r="AK261" s="148" t="s">
        <v>614</v>
      </c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</row>
    <row r="262" ht="14.25" customHeight="1">
      <c r="A262" s="152"/>
      <c r="B262" s="135"/>
      <c r="C262" s="77"/>
      <c r="D262" s="161"/>
      <c r="E262" s="60"/>
      <c r="F262" s="60"/>
      <c r="G262" s="62"/>
      <c r="H262" s="63"/>
      <c r="I262" s="155"/>
      <c r="J262" s="85"/>
      <c r="K262" s="80"/>
      <c r="L262" s="66"/>
      <c r="M262" s="156"/>
      <c r="N262" s="157"/>
      <c r="O262" s="69">
        <f t="shared" si="34"/>
        <v>0</v>
      </c>
      <c r="P262" s="151"/>
      <c r="Q262" s="143"/>
      <c r="R262" s="74"/>
      <c r="S262" s="158"/>
      <c r="T262" s="146">
        <f t="shared" si="11"/>
        <v>0</v>
      </c>
      <c r="U262" s="146">
        <f t="shared" si="42"/>
        <v>0</v>
      </c>
      <c r="V262" s="147"/>
      <c r="W262" s="74" t="b">
        <v>0</v>
      </c>
      <c r="X262" s="74" t="b">
        <v>0</v>
      </c>
      <c r="Y262" s="74" t="b">
        <v>0</v>
      </c>
      <c r="Z262" s="148" t="str">
        <f>IFERROR(__xludf.DUMMYFUNCTION("""COMPUTED_VALUE"""),"")</f>
        <v/>
      </c>
      <c r="AA262" s="148" t="str">
        <f>IFERROR(__xludf.DUMMYFUNCTION("""COMPUTED_VALUE"""),"")</f>
        <v/>
      </c>
      <c r="AB262" s="148" t="str">
        <f>IFERROR(__xludf.DUMMYFUNCTION("""COMPUTED_VALUE"""),"")</f>
        <v/>
      </c>
      <c r="AC262" s="148"/>
      <c r="AD262" s="153"/>
      <c r="AE262" s="148"/>
      <c r="AF262" s="47"/>
      <c r="AG262" s="148" t="s">
        <v>613</v>
      </c>
      <c r="AH262" s="148"/>
      <c r="AI262" s="148"/>
      <c r="AJ262" s="148" t="s">
        <v>614</v>
      </c>
      <c r="AK262" s="148" t="s">
        <v>614</v>
      </c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</row>
    <row r="263" ht="14.25" customHeight="1">
      <c r="A263" s="152"/>
      <c r="B263" s="135"/>
      <c r="C263" s="77"/>
      <c r="D263" s="161"/>
      <c r="E263" s="60"/>
      <c r="F263" s="60"/>
      <c r="G263" s="62"/>
      <c r="H263" s="63"/>
      <c r="I263" s="155"/>
      <c r="J263" s="85"/>
      <c r="K263" s="80"/>
      <c r="L263" s="66"/>
      <c r="M263" s="156"/>
      <c r="N263" s="157"/>
      <c r="O263" s="69">
        <f t="shared" si="34"/>
        <v>0</v>
      </c>
      <c r="P263" s="151"/>
      <c r="Q263" s="143"/>
      <c r="R263" s="74"/>
      <c r="S263" s="158"/>
      <c r="T263" s="146">
        <f t="shared" si="11"/>
        <v>0</v>
      </c>
      <c r="U263" s="146">
        <f t="shared" si="42"/>
        <v>0</v>
      </c>
      <c r="V263" s="147"/>
      <c r="W263" s="74" t="b">
        <v>0</v>
      </c>
      <c r="X263" s="74" t="b">
        <v>0</v>
      </c>
      <c r="Y263" s="74" t="b">
        <v>0</v>
      </c>
      <c r="Z263" s="148" t="str">
        <f>IFERROR(__xludf.DUMMYFUNCTION("""COMPUTED_VALUE"""),"")</f>
        <v/>
      </c>
      <c r="AA263" s="148" t="str">
        <f>IFERROR(__xludf.DUMMYFUNCTION("""COMPUTED_VALUE"""),"")</f>
        <v/>
      </c>
      <c r="AB263" s="148" t="str">
        <f>IFERROR(__xludf.DUMMYFUNCTION("""COMPUTED_VALUE"""),"")</f>
        <v/>
      </c>
      <c r="AC263" s="148"/>
      <c r="AD263" s="153"/>
      <c r="AE263" s="148"/>
      <c r="AF263" s="47"/>
      <c r="AG263" s="148" t="s">
        <v>613</v>
      </c>
      <c r="AH263" s="148"/>
      <c r="AI263" s="148"/>
      <c r="AJ263" s="148" t="s">
        <v>614</v>
      </c>
      <c r="AK263" s="148" t="s">
        <v>614</v>
      </c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</row>
    <row r="264" ht="14.25" customHeight="1">
      <c r="A264" s="134"/>
      <c r="B264" s="135"/>
      <c r="C264" s="58"/>
      <c r="D264" s="204"/>
      <c r="E264" s="60"/>
      <c r="F264" s="60"/>
      <c r="G264" s="177"/>
      <c r="H264" s="63"/>
      <c r="I264" s="178"/>
      <c r="J264" s="91"/>
      <c r="K264" s="65"/>
      <c r="L264" s="66"/>
      <c r="M264" s="81"/>
      <c r="N264" s="167"/>
      <c r="O264" s="69">
        <f t="shared" si="34"/>
        <v>0</v>
      </c>
      <c r="P264" s="142"/>
      <c r="Q264" s="143"/>
      <c r="R264" s="74"/>
      <c r="S264" s="158"/>
      <c r="T264" s="146">
        <f t="shared" si="11"/>
        <v>0</v>
      </c>
      <c r="U264" s="146">
        <f t="shared" si="42"/>
        <v>0</v>
      </c>
      <c r="V264" s="147"/>
      <c r="W264" s="74" t="b">
        <v>0</v>
      </c>
      <c r="X264" s="74" t="b">
        <v>0</v>
      </c>
      <c r="Y264" s="74" t="b">
        <v>0</v>
      </c>
      <c r="Z264" s="148" t="str">
        <f>IFERROR(__xludf.DUMMYFUNCTION("""COMPUTED_VALUE"""),"")</f>
        <v/>
      </c>
      <c r="AA264" s="148" t="str">
        <f>IFERROR(__xludf.DUMMYFUNCTION("""COMPUTED_VALUE"""),"")</f>
        <v/>
      </c>
      <c r="AB264" s="148" t="str">
        <f>IFERROR(__xludf.DUMMYFUNCTION("""COMPUTED_VALUE"""),"")</f>
        <v/>
      </c>
      <c r="AC264" s="148"/>
      <c r="AD264" s="149"/>
      <c r="AE264" s="148"/>
      <c r="AF264" s="47"/>
      <c r="AG264" s="148" t="s">
        <v>613</v>
      </c>
      <c r="AH264" s="148"/>
      <c r="AI264" s="148"/>
      <c r="AJ264" s="148" t="s">
        <v>614</v>
      </c>
      <c r="AK264" s="148" t="s">
        <v>614</v>
      </c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</row>
    <row r="265" ht="14.25" customHeight="1">
      <c r="A265" s="134"/>
      <c r="B265" s="135"/>
      <c r="C265" s="58"/>
      <c r="D265" s="166"/>
      <c r="E265" s="60"/>
      <c r="F265" s="60"/>
      <c r="G265" s="90"/>
      <c r="H265" s="154"/>
      <c r="I265" s="138"/>
      <c r="J265" s="63"/>
      <c r="K265" s="65"/>
      <c r="L265" s="66"/>
      <c r="M265" s="81"/>
      <c r="N265" s="167"/>
      <c r="O265" s="69">
        <f t="shared" si="34"/>
        <v>0</v>
      </c>
      <c r="P265" s="142"/>
      <c r="Q265" s="143"/>
      <c r="R265" s="74"/>
      <c r="S265" s="158"/>
      <c r="T265" s="146">
        <f t="shared" si="11"/>
        <v>0</v>
      </c>
      <c r="U265" s="146"/>
      <c r="V265" s="147"/>
      <c r="W265" s="74" t="b">
        <v>0</v>
      </c>
      <c r="X265" s="74" t="b">
        <v>0</v>
      </c>
      <c r="Y265" s="74" t="b">
        <v>0</v>
      </c>
      <c r="Z265" s="148" t="str">
        <f>IFERROR(__xludf.DUMMYFUNCTION("""COMPUTED_VALUE"""),"")</f>
        <v/>
      </c>
      <c r="AA265" s="148" t="str">
        <f>IFERROR(__xludf.DUMMYFUNCTION("""COMPUTED_VALUE"""),"")</f>
        <v/>
      </c>
      <c r="AB265" s="148" t="str">
        <f>IFERROR(__xludf.DUMMYFUNCTION("""COMPUTED_VALUE"""),"")</f>
        <v/>
      </c>
      <c r="AC265" s="148"/>
      <c r="AD265" s="149"/>
      <c r="AE265" s="148"/>
      <c r="AF265" s="148"/>
      <c r="AG265" s="148" t="s">
        <v>613</v>
      </c>
      <c r="AH265" s="148"/>
      <c r="AI265" s="148"/>
      <c r="AJ265" s="148" t="s">
        <v>614</v>
      </c>
      <c r="AK265" s="148" t="s">
        <v>614</v>
      </c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</row>
    <row r="266" ht="14.25" customHeight="1">
      <c r="A266" s="134"/>
      <c r="B266" s="135"/>
      <c r="C266" s="58"/>
      <c r="D266" s="166"/>
      <c r="E266" s="60"/>
      <c r="F266" s="60"/>
      <c r="G266" s="90"/>
      <c r="H266" s="154"/>
      <c r="I266" s="138"/>
      <c r="J266" s="63"/>
      <c r="K266" s="65"/>
      <c r="L266" s="66"/>
      <c r="M266" s="81"/>
      <c r="N266" s="167"/>
      <c r="O266" s="69">
        <f t="shared" si="34"/>
        <v>0</v>
      </c>
      <c r="P266" s="142"/>
      <c r="Q266" s="143"/>
      <c r="R266" s="74"/>
      <c r="S266" s="158"/>
      <c r="T266" s="146">
        <f t="shared" si="11"/>
        <v>0</v>
      </c>
      <c r="U266" s="146"/>
      <c r="V266" s="147"/>
      <c r="W266" s="74" t="b">
        <v>0</v>
      </c>
      <c r="X266" s="74" t="b">
        <v>0</v>
      </c>
      <c r="Y266" s="74" t="b">
        <v>0</v>
      </c>
      <c r="Z266" s="148" t="str">
        <f>IFERROR(__xludf.DUMMYFUNCTION("""COMPUTED_VALUE"""),"")</f>
        <v/>
      </c>
      <c r="AA266" s="148" t="str">
        <f>IFERROR(__xludf.DUMMYFUNCTION("""COMPUTED_VALUE"""),"")</f>
        <v/>
      </c>
      <c r="AB266" s="148" t="str">
        <f>IFERROR(__xludf.DUMMYFUNCTION("""COMPUTED_VALUE"""),"")</f>
        <v/>
      </c>
      <c r="AC266" s="148"/>
      <c r="AD266" s="149"/>
      <c r="AE266" s="148"/>
      <c r="AF266" s="148"/>
      <c r="AG266" s="148" t="s">
        <v>613</v>
      </c>
      <c r="AH266" s="148"/>
      <c r="AI266" s="148"/>
      <c r="AJ266" s="148" t="s">
        <v>614</v>
      </c>
      <c r="AK266" s="148" t="s">
        <v>614</v>
      </c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</row>
    <row r="267" ht="14.25" customHeight="1">
      <c r="A267" s="134"/>
      <c r="B267" s="135"/>
      <c r="C267" s="58"/>
      <c r="D267" s="166"/>
      <c r="E267" s="60"/>
      <c r="F267" s="60"/>
      <c r="G267" s="90"/>
      <c r="H267" s="154"/>
      <c r="I267" s="138"/>
      <c r="J267" s="63"/>
      <c r="K267" s="65"/>
      <c r="L267" s="66"/>
      <c r="M267" s="81"/>
      <c r="N267" s="167"/>
      <c r="O267" s="69">
        <f t="shared" si="34"/>
        <v>0</v>
      </c>
      <c r="P267" s="142"/>
      <c r="Q267" s="143"/>
      <c r="R267" s="74"/>
      <c r="S267" s="158"/>
      <c r="T267" s="146">
        <f t="shared" si="11"/>
        <v>0</v>
      </c>
      <c r="U267" s="146"/>
      <c r="V267" s="147"/>
      <c r="W267" s="74" t="b">
        <v>0</v>
      </c>
      <c r="X267" s="74" t="b">
        <v>0</v>
      </c>
      <c r="Y267" s="74" t="b">
        <v>0</v>
      </c>
      <c r="Z267" s="148" t="str">
        <f>IFERROR(__xludf.DUMMYFUNCTION("""COMPUTED_VALUE"""),"")</f>
        <v/>
      </c>
      <c r="AA267" s="148" t="str">
        <f>IFERROR(__xludf.DUMMYFUNCTION("""COMPUTED_VALUE"""),"")</f>
        <v/>
      </c>
      <c r="AB267" s="148" t="str">
        <f>IFERROR(__xludf.DUMMYFUNCTION("""COMPUTED_VALUE"""),"")</f>
        <v/>
      </c>
      <c r="AC267" s="148"/>
      <c r="AD267" s="149"/>
      <c r="AE267" s="148"/>
      <c r="AF267" s="148"/>
      <c r="AG267" s="148" t="s">
        <v>613</v>
      </c>
      <c r="AH267" s="148"/>
      <c r="AI267" s="148"/>
      <c r="AJ267" s="148" t="s">
        <v>614</v>
      </c>
      <c r="AK267" s="148" t="s">
        <v>614</v>
      </c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</row>
    <row r="268" ht="14.25" customHeight="1">
      <c r="A268" s="179"/>
      <c r="B268" s="180"/>
      <c r="C268" s="181"/>
      <c r="D268" s="179"/>
      <c r="E268" s="182"/>
      <c r="F268" s="182"/>
      <c r="G268" s="180"/>
      <c r="H268" s="180"/>
      <c r="I268" s="180"/>
      <c r="J268" s="180"/>
      <c r="K268" s="183"/>
      <c r="L268" s="184"/>
      <c r="M268" s="185"/>
      <c r="N268" s="180"/>
      <c r="O268" s="69">
        <f t="shared" si="34"/>
        <v>0</v>
      </c>
      <c r="P268" s="186"/>
      <c r="Q268" s="179"/>
      <c r="R268" s="180"/>
      <c r="S268" s="187"/>
      <c r="T268" s="146">
        <f t="shared" si="11"/>
        <v>0</v>
      </c>
      <c r="U268" s="146"/>
      <c r="V268" s="188"/>
      <c r="W268" s="74" t="b">
        <v>0</v>
      </c>
      <c r="X268" s="74" t="b">
        <v>0</v>
      </c>
      <c r="Y268" s="74" t="b">
        <v>0</v>
      </c>
      <c r="Z268" s="148" t="str">
        <f>IFERROR(__xludf.DUMMYFUNCTION("""COMPUTED_VALUE"""),"")</f>
        <v/>
      </c>
      <c r="AA268" s="148" t="str">
        <f>IFERROR(__xludf.DUMMYFUNCTION("""COMPUTED_VALUE"""),"")</f>
        <v/>
      </c>
      <c r="AB268" s="148" t="str">
        <f>IFERROR(__xludf.DUMMYFUNCTION("""COMPUTED_VALUE"""),"")</f>
        <v/>
      </c>
      <c r="AC268" s="148"/>
      <c r="AD268" s="149"/>
      <c r="AE268" s="148"/>
      <c r="AF268" s="148"/>
      <c r="AG268" s="148" t="s">
        <v>613</v>
      </c>
      <c r="AH268" s="148"/>
      <c r="AI268" s="148"/>
      <c r="AJ268" s="148" t="s">
        <v>614</v>
      </c>
      <c r="AK268" s="148" t="s">
        <v>614</v>
      </c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</row>
    <row r="269" ht="14.25" customHeight="1">
      <c r="A269" s="179"/>
      <c r="B269" s="180"/>
      <c r="C269" s="181"/>
      <c r="D269" s="179"/>
      <c r="E269" s="182"/>
      <c r="F269" s="182"/>
      <c r="G269" s="180"/>
      <c r="H269" s="180"/>
      <c r="I269" s="180"/>
      <c r="J269" s="180"/>
      <c r="K269" s="183"/>
      <c r="L269" s="184"/>
      <c r="M269" s="185"/>
      <c r="N269" s="180"/>
      <c r="O269" s="69">
        <f t="shared" si="34"/>
        <v>0</v>
      </c>
      <c r="P269" s="186"/>
      <c r="Q269" s="179"/>
      <c r="R269" s="180"/>
      <c r="S269" s="187"/>
      <c r="T269" s="146">
        <f t="shared" si="11"/>
        <v>0</v>
      </c>
      <c r="U269" s="146"/>
      <c r="V269" s="188"/>
      <c r="W269" s="74" t="b">
        <v>0</v>
      </c>
      <c r="X269" s="74" t="b">
        <v>0</v>
      </c>
      <c r="Y269" s="74" t="b">
        <v>0</v>
      </c>
      <c r="Z269" s="148" t="str">
        <f>IFERROR(__xludf.DUMMYFUNCTION("""COMPUTED_VALUE"""),"")</f>
        <v/>
      </c>
      <c r="AA269" s="148" t="str">
        <f>IFERROR(__xludf.DUMMYFUNCTION("""COMPUTED_VALUE"""),"")</f>
        <v/>
      </c>
      <c r="AB269" s="148" t="str">
        <f>IFERROR(__xludf.DUMMYFUNCTION("""COMPUTED_VALUE"""),"")</f>
        <v/>
      </c>
      <c r="AC269" s="148"/>
      <c r="AD269" s="149"/>
      <c r="AE269" s="148"/>
      <c r="AF269" s="148"/>
      <c r="AG269" s="148" t="s">
        <v>613</v>
      </c>
      <c r="AH269" s="148"/>
      <c r="AI269" s="148"/>
      <c r="AJ269" s="148" t="s">
        <v>614</v>
      </c>
      <c r="AK269" s="148" t="s">
        <v>614</v>
      </c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</row>
    <row r="270" ht="14.25" customHeight="1">
      <c r="A270" s="179"/>
      <c r="B270" s="180"/>
      <c r="C270" s="181"/>
      <c r="D270" s="179"/>
      <c r="E270" s="182"/>
      <c r="F270" s="182"/>
      <c r="G270" s="180"/>
      <c r="H270" s="180"/>
      <c r="I270" s="180"/>
      <c r="J270" s="180"/>
      <c r="K270" s="183"/>
      <c r="L270" s="184"/>
      <c r="M270" s="185"/>
      <c r="N270" s="180"/>
      <c r="O270" s="69">
        <f t="shared" si="34"/>
        <v>0</v>
      </c>
      <c r="P270" s="186"/>
      <c r="Q270" s="179"/>
      <c r="R270" s="180"/>
      <c r="S270" s="187"/>
      <c r="T270" s="146">
        <f t="shared" si="11"/>
        <v>0</v>
      </c>
      <c r="U270" s="146"/>
      <c r="V270" s="188"/>
      <c r="W270" s="74" t="b">
        <v>0</v>
      </c>
      <c r="X270" s="74" t="b">
        <v>0</v>
      </c>
      <c r="Y270" s="74" t="b">
        <v>0</v>
      </c>
      <c r="Z270" s="148" t="str">
        <f>IFERROR(__xludf.DUMMYFUNCTION("""COMPUTED_VALUE"""),"")</f>
        <v/>
      </c>
      <c r="AA270" s="148" t="str">
        <f>IFERROR(__xludf.DUMMYFUNCTION("""COMPUTED_VALUE"""),"")</f>
        <v/>
      </c>
      <c r="AB270" s="148" t="str">
        <f>IFERROR(__xludf.DUMMYFUNCTION("""COMPUTED_VALUE"""),"")</f>
        <v/>
      </c>
      <c r="AC270" s="148"/>
      <c r="AD270" s="149"/>
      <c r="AE270" s="148"/>
      <c r="AF270" s="148"/>
      <c r="AG270" s="148" t="s">
        <v>613</v>
      </c>
      <c r="AH270" s="148"/>
      <c r="AI270" s="148"/>
      <c r="AJ270" s="148" t="s">
        <v>614</v>
      </c>
      <c r="AK270" s="148" t="s">
        <v>614</v>
      </c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</row>
    <row r="271" ht="14.25" customHeight="1">
      <c r="A271" s="179"/>
      <c r="B271" s="180"/>
      <c r="C271" s="181"/>
      <c r="D271" s="179"/>
      <c r="E271" s="182"/>
      <c r="F271" s="182"/>
      <c r="G271" s="180"/>
      <c r="H271" s="180"/>
      <c r="I271" s="180"/>
      <c r="J271" s="180"/>
      <c r="K271" s="183"/>
      <c r="L271" s="184"/>
      <c r="M271" s="185"/>
      <c r="N271" s="180"/>
      <c r="O271" s="69">
        <f t="shared" si="34"/>
        <v>0</v>
      </c>
      <c r="P271" s="186"/>
      <c r="Q271" s="179"/>
      <c r="R271" s="180"/>
      <c r="S271" s="187"/>
      <c r="T271" s="146">
        <f t="shared" si="11"/>
        <v>0</v>
      </c>
      <c r="U271" s="146"/>
      <c r="V271" s="188"/>
      <c r="W271" s="74" t="b">
        <v>0</v>
      </c>
      <c r="X271" s="74" t="b">
        <v>0</v>
      </c>
      <c r="Y271" s="74" t="b">
        <v>0</v>
      </c>
      <c r="Z271" s="148" t="str">
        <f>IFERROR(__xludf.DUMMYFUNCTION("""COMPUTED_VALUE"""),"")</f>
        <v/>
      </c>
      <c r="AA271" s="148" t="str">
        <f>IFERROR(__xludf.DUMMYFUNCTION("""COMPUTED_VALUE"""),"")</f>
        <v/>
      </c>
      <c r="AB271" s="148" t="str">
        <f>IFERROR(__xludf.DUMMYFUNCTION("""COMPUTED_VALUE"""),"")</f>
        <v/>
      </c>
      <c r="AC271" s="148"/>
      <c r="AD271" s="149"/>
      <c r="AE271" s="148"/>
      <c r="AF271" s="148"/>
      <c r="AG271" s="148" t="s">
        <v>613</v>
      </c>
      <c r="AH271" s="148"/>
      <c r="AI271" s="148"/>
      <c r="AJ271" s="148" t="s">
        <v>614</v>
      </c>
      <c r="AK271" s="148" t="s">
        <v>614</v>
      </c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</row>
    <row r="272" ht="14.25" customHeight="1">
      <c r="A272" s="179"/>
      <c r="B272" s="180"/>
      <c r="C272" s="181"/>
      <c r="D272" s="179"/>
      <c r="E272" s="182"/>
      <c r="F272" s="182"/>
      <c r="G272" s="180"/>
      <c r="H272" s="180"/>
      <c r="I272" s="180"/>
      <c r="J272" s="180"/>
      <c r="K272" s="183"/>
      <c r="L272" s="184"/>
      <c r="M272" s="185"/>
      <c r="N272" s="180"/>
      <c r="O272" s="69">
        <f t="shared" si="34"/>
        <v>0</v>
      </c>
      <c r="P272" s="186"/>
      <c r="Q272" s="179"/>
      <c r="R272" s="180"/>
      <c r="S272" s="187"/>
      <c r="T272" s="146">
        <f t="shared" si="11"/>
        <v>0</v>
      </c>
      <c r="U272" s="146"/>
      <c r="V272" s="188"/>
      <c r="W272" s="180"/>
      <c r="X272" s="180"/>
      <c r="Y272" s="180"/>
      <c r="Z272" s="148" t="str">
        <f>IFERROR(__xludf.DUMMYFUNCTION("""COMPUTED_VALUE"""),"")</f>
        <v/>
      </c>
      <c r="AA272" s="148" t="str">
        <f>IFERROR(__xludf.DUMMYFUNCTION("""COMPUTED_VALUE"""),"")</f>
        <v/>
      </c>
      <c r="AB272" s="148" t="str">
        <f>IFERROR(__xludf.DUMMYFUNCTION("""COMPUTED_VALUE"""),"")</f>
        <v/>
      </c>
      <c r="AC272" s="148"/>
      <c r="AD272" s="149"/>
      <c r="AE272" s="148"/>
      <c r="AF272" s="148"/>
      <c r="AG272" s="148" t="s">
        <v>613</v>
      </c>
      <c r="AH272" s="148"/>
      <c r="AI272" s="148"/>
      <c r="AJ272" s="148" t="s">
        <v>614</v>
      </c>
      <c r="AK272" s="148" t="s">
        <v>614</v>
      </c>
      <c r="AL272" s="148"/>
      <c r="AM272" s="148"/>
      <c r="AN272" s="148"/>
      <c r="AO272" s="148"/>
      <c r="AP272" s="148"/>
      <c r="AQ272" s="148"/>
      <c r="AR272" s="148"/>
      <c r="AS272" s="148"/>
      <c r="AT272" s="148"/>
      <c r="AU272" s="148"/>
    </row>
    <row r="273" ht="14.25" customHeight="1">
      <c r="A273" s="179"/>
      <c r="B273" s="180"/>
      <c r="C273" s="181"/>
      <c r="D273" s="179"/>
      <c r="E273" s="182"/>
      <c r="F273" s="182"/>
      <c r="G273" s="180"/>
      <c r="H273" s="180"/>
      <c r="I273" s="180"/>
      <c r="J273" s="180"/>
      <c r="K273" s="183"/>
      <c r="L273" s="184"/>
      <c r="M273" s="185"/>
      <c r="N273" s="180"/>
      <c r="O273" s="69">
        <f t="shared" si="34"/>
        <v>0</v>
      </c>
      <c r="P273" s="186"/>
      <c r="Q273" s="179"/>
      <c r="R273" s="180"/>
      <c r="S273" s="187"/>
      <c r="T273" s="146">
        <f t="shared" si="11"/>
        <v>0</v>
      </c>
      <c r="U273" s="146"/>
      <c r="V273" s="188"/>
      <c r="W273" s="180"/>
      <c r="X273" s="180"/>
      <c r="Y273" s="180"/>
      <c r="Z273" s="148" t="str">
        <f>IFERROR(__xludf.DUMMYFUNCTION("""COMPUTED_VALUE"""),"")</f>
        <v/>
      </c>
      <c r="AA273" s="148" t="str">
        <f>IFERROR(__xludf.DUMMYFUNCTION("""COMPUTED_VALUE"""),"")</f>
        <v/>
      </c>
      <c r="AB273" s="148" t="str">
        <f>IFERROR(__xludf.DUMMYFUNCTION("""COMPUTED_VALUE"""),"")</f>
        <v/>
      </c>
      <c r="AC273" s="148"/>
      <c r="AD273" s="149"/>
      <c r="AE273" s="148"/>
      <c r="AF273" s="148"/>
      <c r="AG273" s="148" t="s">
        <v>613</v>
      </c>
      <c r="AH273" s="148"/>
      <c r="AI273" s="148"/>
      <c r="AJ273" s="148" t="s">
        <v>614</v>
      </c>
      <c r="AK273" s="148" t="s">
        <v>614</v>
      </c>
      <c r="AL273" s="148"/>
      <c r="AM273" s="148"/>
      <c r="AN273" s="148"/>
      <c r="AO273" s="148"/>
      <c r="AP273" s="148"/>
      <c r="AQ273" s="148"/>
      <c r="AR273" s="148"/>
      <c r="AS273" s="148"/>
      <c r="AT273" s="148"/>
      <c r="AU273" s="148"/>
    </row>
    <row r="274" ht="14.25" customHeight="1">
      <c r="A274" s="179"/>
      <c r="B274" s="180"/>
      <c r="C274" s="181"/>
      <c r="D274" s="179"/>
      <c r="E274" s="182"/>
      <c r="F274" s="182"/>
      <c r="G274" s="180"/>
      <c r="H274" s="180"/>
      <c r="I274" s="180"/>
      <c r="J274" s="180"/>
      <c r="K274" s="183"/>
      <c r="L274" s="184"/>
      <c r="M274" s="185"/>
      <c r="N274" s="180"/>
      <c r="O274" s="69">
        <f t="shared" si="34"/>
        <v>0</v>
      </c>
      <c r="P274" s="186"/>
      <c r="Q274" s="179"/>
      <c r="R274" s="180"/>
      <c r="S274" s="187"/>
      <c r="T274" s="146">
        <f t="shared" si="11"/>
        <v>0</v>
      </c>
      <c r="U274" s="146"/>
      <c r="V274" s="188"/>
      <c r="W274" s="180"/>
      <c r="X274" s="180"/>
      <c r="Y274" s="180"/>
      <c r="Z274" s="148" t="str">
        <f>IFERROR(__xludf.DUMMYFUNCTION("""COMPUTED_VALUE"""),"")</f>
        <v/>
      </c>
      <c r="AA274" s="148" t="str">
        <f>IFERROR(__xludf.DUMMYFUNCTION("""COMPUTED_VALUE"""),"")</f>
        <v/>
      </c>
      <c r="AB274" s="148" t="str">
        <f>IFERROR(__xludf.DUMMYFUNCTION("""COMPUTED_VALUE"""),"")</f>
        <v/>
      </c>
      <c r="AC274" s="148"/>
      <c r="AD274" s="149"/>
      <c r="AE274" s="148"/>
      <c r="AF274" s="148"/>
      <c r="AG274" s="148" t="s">
        <v>613</v>
      </c>
      <c r="AH274" s="148"/>
      <c r="AI274" s="148"/>
      <c r="AJ274" s="148" t="s">
        <v>614</v>
      </c>
      <c r="AK274" s="148" t="s">
        <v>614</v>
      </c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</row>
    <row r="275" ht="14.25" customHeight="1">
      <c r="A275" s="179"/>
      <c r="B275" s="180"/>
      <c r="C275" s="181"/>
      <c r="D275" s="179"/>
      <c r="E275" s="182"/>
      <c r="F275" s="182"/>
      <c r="G275" s="180"/>
      <c r="H275" s="180"/>
      <c r="I275" s="180"/>
      <c r="J275" s="180"/>
      <c r="K275" s="183"/>
      <c r="L275" s="184"/>
      <c r="M275" s="185"/>
      <c r="N275" s="180"/>
      <c r="O275" s="69">
        <f t="shared" si="34"/>
        <v>0</v>
      </c>
      <c r="P275" s="186"/>
      <c r="Q275" s="179"/>
      <c r="R275" s="180"/>
      <c r="S275" s="187"/>
      <c r="T275" s="146">
        <f t="shared" si="11"/>
        <v>0</v>
      </c>
      <c r="U275" s="146"/>
      <c r="V275" s="188"/>
      <c r="W275" s="180"/>
      <c r="X275" s="180"/>
      <c r="Y275" s="180"/>
      <c r="Z275" s="148" t="str">
        <f>IFERROR(__xludf.DUMMYFUNCTION("""COMPUTED_VALUE"""),"")</f>
        <v/>
      </c>
      <c r="AA275" s="148" t="str">
        <f>IFERROR(__xludf.DUMMYFUNCTION("""COMPUTED_VALUE"""),"")</f>
        <v/>
      </c>
      <c r="AB275" s="148" t="str">
        <f>IFERROR(__xludf.DUMMYFUNCTION("""COMPUTED_VALUE"""),"")</f>
        <v/>
      </c>
      <c r="AC275" s="148"/>
      <c r="AD275" s="149"/>
      <c r="AE275" s="148"/>
      <c r="AF275" s="148"/>
      <c r="AG275" s="148" t="s">
        <v>613</v>
      </c>
      <c r="AH275" s="148"/>
      <c r="AI275" s="148"/>
      <c r="AJ275" s="148" t="s">
        <v>614</v>
      </c>
      <c r="AK275" s="148" t="s">
        <v>614</v>
      </c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</row>
    <row r="276" ht="14.25" customHeight="1">
      <c r="A276" s="179"/>
      <c r="B276" s="180"/>
      <c r="C276" s="181"/>
      <c r="D276" s="179"/>
      <c r="E276" s="182"/>
      <c r="F276" s="182"/>
      <c r="G276" s="180"/>
      <c r="H276" s="180"/>
      <c r="I276" s="180"/>
      <c r="J276" s="180"/>
      <c r="K276" s="183"/>
      <c r="L276" s="184"/>
      <c r="M276" s="185"/>
      <c r="N276" s="180"/>
      <c r="O276" s="69">
        <f t="shared" si="34"/>
        <v>0</v>
      </c>
      <c r="P276" s="186"/>
      <c r="Q276" s="179"/>
      <c r="R276" s="180"/>
      <c r="S276" s="187"/>
      <c r="T276" s="146">
        <f t="shared" si="11"/>
        <v>0</v>
      </c>
      <c r="U276" s="146"/>
      <c r="V276" s="188"/>
      <c r="W276" s="180"/>
      <c r="X276" s="180"/>
      <c r="Y276" s="180"/>
      <c r="Z276" s="148" t="str">
        <f>IFERROR(__xludf.DUMMYFUNCTION("""COMPUTED_VALUE"""),"")</f>
        <v/>
      </c>
      <c r="AA276" s="148" t="str">
        <f>IFERROR(__xludf.DUMMYFUNCTION("""COMPUTED_VALUE"""),"")</f>
        <v/>
      </c>
      <c r="AB276" s="148" t="str">
        <f>IFERROR(__xludf.DUMMYFUNCTION("""COMPUTED_VALUE"""),"")</f>
        <v/>
      </c>
      <c r="AC276" s="148"/>
      <c r="AD276" s="149"/>
      <c r="AE276" s="148"/>
      <c r="AF276" s="148"/>
      <c r="AG276" s="148" t="s">
        <v>613</v>
      </c>
      <c r="AH276" s="148"/>
      <c r="AI276" s="148"/>
      <c r="AJ276" s="148" t="s">
        <v>614</v>
      </c>
      <c r="AK276" s="148" t="s">
        <v>614</v>
      </c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</row>
    <row r="277" ht="14.25" customHeight="1">
      <c r="A277" s="179"/>
      <c r="B277" s="180"/>
      <c r="C277" s="181"/>
      <c r="D277" s="179"/>
      <c r="E277" s="182"/>
      <c r="F277" s="182"/>
      <c r="G277" s="180"/>
      <c r="H277" s="180"/>
      <c r="I277" s="180"/>
      <c r="J277" s="180"/>
      <c r="K277" s="183"/>
      <c r="L277" s="184"/>
      <c r="M277" s="185"/>
      <c r="N277" s="180"/>
      <c r="O277" s="69">
        <f t="shared" si="34"/>
        <v>0</v>
      </c>
      <c r="P277" s="186"/>
      <c r="Q277" s="179"/>
      <c r="R277" s="180"/>
      <c r="S277" s="187"/>
      <c r="T277" s="146">
        <f t="shared" si="11"/>
        <v>0</v>
      </c>
      <c r="U277" s="146"/>
      <c r="V277" s="188"/>
      <c r="W277" s="180"/>
      <c r="X277" s="180"/>
      <c r="Y277" s="180"/>
      <c r="Z277" s="148" t="str">
        <f>IFERROR(__xludf.DUMMYFUNCTION("""COMPUTED_VALUE"""),"")</f>
        <v/>
      </c>
      <c r="AA277" s="148" t="str">
        <f>IFERROR(__xludf.DUMMYFUNCTION("""COMPUTED_VALUE"""),"")</f>
        <v/>
      </c>
      <c r="AB277" s="148" t="str">
        <f>IFERROR(__xludf.DUMMYFUNCTION("""COMPUTED_VALUE"""),"")</f>
        <v/>
      </c>
      <c r="AC277" s="148"/>
      <c r="AD277" s="149"/>
      <c r="AE277" s="148"/>
      <c r="AF277" s="148"/>
      <c r="AG277" s="148" t="s">
        <v>613</v>
      </c>
      <c r="AH277" s="148"/>
      <c r="AI277" s="148"/>
      <c r="AJ277" s="148" t="s">
        <v>614</v>
      </c>
      <c r="AK277" s="148" t="s">
        <v>614</v>
      </c>
      <c r="AL277" s="148"/>
      <c r="AM277" s="148"/>
      <c r="AN277" s="148"/>
      <c r="AO277" s="148"/>
      <c r="AP277" s="148"/>
      <c r="AQ277" s="148"/>
      <c r="AR277" s="148"/>
      <c r="AS277" s="148"/>
      <c r="AT277" s="148"/>
      <c r="AU277" s="148"/>
    </row>
    <row r="278" ht="14.25" customHeight="1">
      <c r="A278" s="179"/>
      <c r="B278" s="180"/>
      <c r="C278" s="181"/>
      <c r="D278" s="179"/>
      <c r="E278" s="182"/>
      <c r="F278" s="182"/>
      <c r="G278" s="180"/>
      <c r="H278" s="180"/>
      <c r="I278" s="180"/>
      <c r="J278" s="180"/>
      <c r="K278" s="183"/>
      <c r="L278" s="184"/>
      <c r="M278" s="185"/>
      <c r="N278" s="180"/>
      <c r="O278" s="69">
        <f t="shared" si="34"/>
        <v>0</v>
      </c>
      <c r="P278" s="186"/>
      <c r="Q278" s="179"/>
      <c r="R278" s="180"/>
      <c r="S278" s="187"/>
      <c r="T278" s="146">
        <f t="shared" si="11"/>
        <v>0</v>
      </c>
      <c r="U278" s="146"/>
      <c r="V278" s="188"/>
      <c r="W278" s="180"/>
      <c r="X278" s="180"/>
      <c r="Y278" s="180"/>
      <c r="Z278" s="148" t="str">
        <f>IFERROR(__xludf.DUMMYFUNCTION("""COMPUTED_VALUE"""),"")</f>
        <v/>
      </c>
      <c r="AA278" s="148" t="str">
        <f>IFERROR(__xludf.DUMMYFUNCTION("""COMPUTED_VALUE"""),"")</f>
        <v/>
      </c>
      <c r="AB278" s="148" t="str">
        <f>IFERROR(__xludf.DUMMYFUNCTION("""COMPUTED_VALUE"""),"")</f>
        <v/>
      </c>
      <c r="AC278" s="148"/>
      <c r="AD278" s="149"/>
      <c r="AE278" s="148"/>
      <c r="AF278" s="148"/>
      <c r="AG278" s="148" t="s">
        <v>613</v>
      </c>
      <c r="AH278" s="148"/>
      <c r="AI278" s="148"/>
      <c r="AJ278" s="148" t="s">
        <v>614</v>
      </c>
      <c r="AK278" s="148" t="s">
        <v>614</v>
      </c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</row>
    <row r="279" ht="14.25" customHeight="1">
      <c r="A279" s="179"/>
      <c r="B279" s="180"/>
      <c r="C279" s="181"/>
      <c r="D279" s="179"/>
      <c r="E279" s="182"/>
      <c r="F279" s="182"/>
      <c r="G279" s="180"/>
      <c r="H279" s="180"/>
      <c r="I279" s="180"/>
      <c r="J279" s="180"/>
      <c r="K279" s="183"/>
      <c r="L279" s="184"/>
      <c r="M279" s="185"/>
      <c r="N279" s="180"/>
      <c r="O279" s="69">
        <f t="shared" si="34"/>
        <v>0</v>
      </c>
      <c r="P279" s="186"/>
      <c r="Q279" s="179"/>
      <c r="R279" s="180"/>
      <c r="S279" s="187"/>
      <c r="T279" s="146">
        <f t="shared" si="11"/>
        <v>0</v>
      </c>
      <c r="U279" s="146"/>
      <c r="V279" s="188"/>
      <c r="W279" s="180"/>
      <c r="X279" s="180"/>
      <c r="Y279" s="180"/>
      <c r="Z279" s="148" t="str">
        <f>IFERROR(__xludf.DUMMYFUNCTION("""COMPUTED_VALUE"""),"")</f>
        <v/>
      </c>
      <c r="AA279" s="148" t="str">
        <f>IFERROR(__xludf.DUMMYFUNCTION("""COMPUTED_VALUE"""),"")</f>
        <v/>
      </c>
      <c r="AB279" s="148" t="str">
        <f>IFERROR(__xludf.DUMMYFUNCTION("""COMPUTED_VALUE"""),"")</f>
        <v/>
      </c>
      <c r="AC279" s="148"/>
      <c r="AD279" s="149"/>
      <c r="AE279" s="148"/>
      <c r="AF279" s="148"/>
      <c r="AG279" s="148" t="s">
        <v>613</v>
      </c>
      <c r="AH279" s="148"/>
      <c r="AI279" s="148"/>
      <c r="AJ279" s="148" t="s">
        <v>614</v>
      </c>
      <c r="AK279" s="148" t="s">
        <v>614</v>
      </c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</row>
    <row r="280" ht="14.25" customHeight="1">
      <c r="A280" s="179"/>
      <c r="B280" s="180"/>
      <c r="C280" s="181"/>
      <c r="D280" s="179"/>
      <c r="E280" s="182"/>
      <c r="F280" s="182"/>
      <c r="G280" s="180"/>
      <c r="H280" s="180"/>
      <c r="I280" s="180"/>
      <c r="J280" s="180"/>
      <c r="K280" s="183"/>
      <c r="L280" s="184"/>
      <c r="M280" s="185"/>
      <c r="N280" s="180"/>
      <c r="O280" s="69">
        <f t="shared" si="34"/>
        <v>0</v>
      </c>
      <c r="P280" s="186"/>
      <c r="Q280" s="179"/>
      <c r="R280" s="180"/>
      <c r="S280" s="187"/>
      <c r="T280" s="146">
        <f t="shared" si="11"/>
        <v>0</v>
      </c>
      <c r="U280" s="146"/>
      <c r="V280" s="188"/>
      <c r="W280" s="180"/>
      <c r="X280" s="180"/>
      <c r="Y280" s="180"/>
      <c r="Z280" s="148" t="str">
        <f>IFERROR(__xludf.DUMMYFUNCTION("""COMPUTED_VALUE"""),"")</f>
        <v/>
      </c>
      <c r="AA280" s="148" t="str">
        <f>IFERROR(__xludf.DUMMYFUNCTION("""COMPUTED_VALUE"""),"")</f>
        <v/>
      </c>
      <c r="AB280" s="148" t="str">
        <f>IFERROR(__xludf.DUMMYFUNCTION("""COMPUTED_VALUE"""),"")</f>
        <v/>
      </c>
      <c r="AC280" s="148"/>
      <c r="AD280" s="149"/>
      <c r="AE280" s="148"/>
      <c r="AF280" s="148"/>
      <c r="AG280" s="148" t="s">
        <v>613</v>
      </c>
      <c r="AH280" s="148"/>
      <c r="AI280" s="148"/>
      <c r="AJ280" s="148" t="s">
        <v>614</v>
      </c>
      <c r="AK280" s="148" t="s">
        <v>614</v>
      </c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</row>
    <row r="281" ht="14.25" customHeight="1">
      <c r="A281" s="179"/>
      <c r="B281" s="180"/>
      <c r="C281" s="181"/>
      <c r="D281" s="179"/>
      <c r="E281" s="182"/>
      <c r="F281" s="182"/>
      <c r="G281" s="180"/>
      <c r="H281" s="180"/>
      <c r="I281" s="180"/>
      <c r="J281" s="180"/>
      <c r="K281" s="183"/>
      <c r="L281" s="184"/>
      <c r="M281" s="185"/>
      <c r="N281" s="180"/>
      <c r="O281" s="69">
        <f t="shared" si="34"/>
        <v>0</v>
      </c>
      <c r="P281" s="186"/>
      <c r="Q281" s="179"/>
      <c r="R281" s="180"/>
      <c r="S281" s="187"/>
      <c r="T281" s="146">
        <f t="shared" si="11"/>
        <v>0</v>
      </c>
      <c r="U281" s="146"/>
      <c r="V281" s="188"/>
      <c r="W281" s="180"/>
      <c r="X281" s="180"/>
      <c r="Y281" s="180"/>
      <c r="Z281" s="148" t="str">
        <f>IFERROR(__xludf.DUMMYFUNCTION("""COMPUTED_VALUE"""),"")</f>
        <v/>
      </c>
      <c r="AA281" s="148" t="str">
        <f>IFERROR(__xludf.DUMMYFUNCTION("""COMPUTED_VALUE"""),"")</f>
        <v/>
      </c>
      <c r="AB281" s="148" t="str">
        <f>IFERROR(__xludf.DUMMYFUNCTION("""COMPUTED_VALUE"""),"")</f>
        <v/>
      </c>
      <c r="AC281" s="148"/>
      <c r="AD281" s="149"/>
      <c r="AE281" s="148"/>
      <c r="AF281" s="148"/>
      <c r="AG281" s="148" t="s">
        <v>613</v>
      </c>
      <c r="AH281" s="148"/>
      <c r="AI281" s="148"/>
      <c r="AJ281" s="148" t="s">
        <v>614</v>
      </c>
      <c r="AK281" s="148" t="s">
        <v>614</v>
      </c>
      <c r="AL281" s="148"/>
      <c r="AM281" s="148"/>
      <c r="AN281" s="148"/>
      <c r="AO281" s="148"/>
      <c r="AP281" s="148"/>
      <c r="AQ281" s="148"/>
      <c r="AR281" s="148"/>
      <c r="AS281" s="148"/>
      <c r="AT281" s="148"/>
      <c r="AU281" s="148"/>
    </row>
    <row r="282" ht="14.25" customHeight="1">
      <c r="A282" s="179"/>
      <c r="B282" s="180"/>
      <c r="C282" s="181"/>
      <c r="D282" s="179"/>
      <c r="E282" s="182"/>
      <c r="F282" s="182"/>
      <c r="G282" s="180"/>
      <c r="H282" s="180"/>
      <c r="I282" s="180"/>
      <c r="J282" s="180"/>
      <c r="K282" s="183"/>
      <c r="L282" s="184"/>
      <c r="M282" s="185"/>
      <c r="N282" s="180"/>
      <c r="O282" s="69">
        <f t="shared" si="34"/>
        <v>0</v>
      </c>
      <c r="P282" s="186"/>
      <c r="Q282" s="179"/>
      <c r="R282" s="180"/>
      <c r="S282" s="187"/>
      <c r="T282" s="146">
        <f t="shared" si="11"/>
        <v>0</v>
      </c>
      <c r="U282" s="146"/>
      <c r="V282" s="188"/>
      <c r="W282" s="180"/>
      <c r="X282" s="180"/>
      <c r="Y282" s="180"/>
      <c r="Z282" s="148" t="str">
        <f>IFERROR(__xludf.DUMMYFUNCTION("""COMPUTED_VALUE"""),"")</f>
        <v/>
      </c>
      <c r="AA282" s="148" t="str">
        <f>IFERROR(__xludf.DUMMYFUNCTION("""COMPUTED_VALUE"""),"")</f>
        <v/>
      </c>
      <c r="AB282" s="148" t="str">
        <f>IFERROR(__xludf.DUMMYFUNCTION("""COMPUTED_VALUE"""),"")</f>
        <v/>
      </c>
      <c r="AC282" s="148"/>
      <c r="AD282" s="149"/>
      <c r="AE282" s="148"/>
      <c r="AF282" s="148"/>
      <c r="AG282" s="148" t="s">
        <v>613</v>
      </c>
      <c r="AH282" s="148"/>
      <c r="AI282" s="148"/>
      <c r="AJ282" s="148" t="s">
        <v>614</v>
      </c>
      <c r="AK282" s="148" t="s">
        <v>614</v>
      </c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</row>
    <row r="283" ht="14.25" customHeight="1">
      <c r="A283" s="179"/>
      <c r="B283" s="180"/>
      <c r="C283" s="181"/>
      <c r="D283" s="179"/>
      <c r="E283" s="182"/>
      <c r="F283" s="182"/>
      <c r="G283" s="180"/>
      <c r="H283" s="180"/>
      <c r="I283" s="180"/>
      <c r="J283" s="180"/>
      <c r="K283" s="183"/>
      <c r="L283" s="184"/>
      <c r="M283" s="185"/>
      <c r="N283" s="180"/>
      <c r="O283" s="69">
        <f t="shared" si="34"/>
        <v>0</v>
      </c>
      <c r="P283" s="186"/>
      <c r="Q283" s="179"/>
      <c r="R283" s="180"/>
      <c r="S283" s="187"/>
      <c r="T283" s="146">
        <f t="shared" si="11"/>
        <v>0</v>
      </c>
      <c r="U283" s="146"/>
      <c r="V283" s="188"/>
      <c r="W283" s="180"/>
      <c r="X283" s="180"/>
      <c r="Y283" s="180"/>
      <c r="Z283" s="148" t="str">
        <f>IFERROR(__xludf.DUMMYFUNCTION("""COMPUTED_VALUE"""),"")</f>
        <v/>
      </c>
      <c r="AA283" s="148" t="str">
        <f>IFERROR(__xludf.DUMMYFUNCTION("""COMPUTED_VALUE"""),"")</f>
        <v/>
      </c>
      <c r="AB283" s="148" t="str">
        <f>IFERROR(__xludf.DUMMYFUNCTION("""COMPUTED_VALUE"""),"")</f>
        <v/>
      </c>
      <c r="AC283" s="148"/>
      <c r="AD283" s="149"/>
      <c r="AE283" s="148"/>
      <c r="AF283" s="148"/>
      <c r="AG283" s="148" t="s">
        <v>613</v>
      </c>
      <c r="AH283" s="148"/>
      <c r="AI283" s="148"/>
      <c r="AJ283" s="148" t="s">
        <v>614</v>
      </c>
      <c r="AK283" s="148" t="s">
        <v>614</v>
      </c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</row>
    <row r="284" ht="14.25" customHeight="1">
      <c r="A284" s="179"/>
      <c r="B284" s="180"/>
      <c r="C284" s="181"/>
      <c r="D284" s="179"/>
      <c r="E284" s="182"/>
      <c r="F284" s="182"/>
      <c r="G284" s="180"/>
      <c r="H284" s="180"/>
      <c r="I284" s="180"/>
      <c r="J284" s="180"/>
      <c r="K284" s="183"/>
      <c r="L284" s="184"/>
      <c r="M284" s="185"/>
      <c r="N284" s="180"/>
      <c r="O284" s="69">
        <f t="shared" si="34"/>
        <v>0</v>
      </c>
      <c r="P284" s="186"/>
      <c r="Q284" s="179"/>
      <c r="R284" s="180"/>
      <c r="S284" s="187"/>
      <c r="T284" s="146">
        <f t="shared" si="11"/>
        <v>0</v>
      </c>
      <c r="U284" s="146"/>
      <c r="V284" s="188"/>
      <c r="W284" s="180"/>
      <c r="X284" s="180"/>
      <c r="Y284" s="180"/>
      <c r="Z284" s="148" t="str">
        <f>IFERROR(__xludf.DUMMYFUNCTION("""COMPUTED_VALUE"""),"")</f>
        <v/>
      </c>
      <c r="AA284" s="148" t="str">
        <f>IFERROR(__xludf.DUMMYFUNCTION("""COMPUTED_VALUE"""),"")</f>
        <v/>
      </c>
      <c r="AB284" s="148" t="str">
        <f>IFERROR(__xludf.DUMMYFUNCTION("""COMPUTED_VALUE"""),"")</f>
        <v/>
      </c>
      <c r="AC284" s="148"/>
      <c r="AD284" s="149"/>
      <c r="AE284" s="148"/>
      <c r="AF284" s="148"/>
      <c r="AG284" s="148" t="s">
        <v>613</v>
      </c>
      <c r="AH284" s="148"/>
      <c r="AI284" s="148"/>
      <c r="AJ284" s="148" t="s">
        <v>614</v>
      </c>
      <c r="AK284" s="148" t="s">
        <v>614</v>
      </c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</row>
    <row r="285" ht="14.25" customHeight="1">
      <c r="A285" s="179"/>
      <c r="B285" s="180"/>
      <c r="C285" s="181"/>
      <c r="D285" s="179"/>
      <c r="E285" s="182"/>
      <c r="F285" s="182"/>
      <c r="G285" s="180"/>
      <c r="H285" s="180"/>
      <c r="I285" s="180"/>
      <c r="J285" s="180"/>
      <c r="K285" s="183"/>
      <c r="L285" s="184"/>
      <c r="M285" s="185"/>
      <c r="N285" s="180"/>
      <c r="O285" s="69">
        <f t="shared" si="34"/>
        <v>0</v>
      </c>
      <c r="P285" s="186"/>
      <c r="Q285" s="179"/>
      <c r="R285" s="180"/>
      <c r="S285" s="187"/>
      <c r="T285" s="146">
        <f t="shared" si="11"/>
        <v>0</v>
      </c>
      <c r="U285" s="146"/>
      <c r="V285" s="188"/>
      <c r="W285" s="180"/>
      <c r="X285" s="180"/>
      <c r="Y285" s="180"/>
      <c r="Z285" s="148" t="str">
        <f>IFERROR(__xludf.DUMMYFUNCTION("""COMPUTED_VALUE"""),"")</f>
        <v/>
      </c>
      <c r="AA285" s="148" t="str">
        <f>IFERROR(__xludf.DUMMYFUNCTION("""COMPUTED_VALUE"""),"")</f>
        <v/>
      </c>
      <c r="AB285" s="148" t="str">
        <f>IFERROR(__xludf.DUMMYFUNCTION("""COMPUTED_VALUE"""),"")</f>
        <v/>
      </c>
      <c r="AC285" s="148"/>
      <c r="AD285" s="149"/>
      <c r="AE285" s="148"/>
      <c r="AF285" s="148"/>
      <c r="AG285" s="148" t="s">
        <v>613</v>
      </c>
      <c r="AH285" s="148"/>
      <c r="AI285" s="148"/>
      <c r="AJ285" s="148" t="s">
        <v>614</v>
      </c>
      <c r="AK285" s="148" t="s">
        <v>614</v>
      </c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</row>
    <row r="286" ht="14.25" customHeight="1">
      <c r="A286" s="179"/>
      <c r="B286" s="180"/>
      <c r="C286" s="181"/>
      <c r="D286" s="179"/>
      <c r="E286" s="182"/>
      <c r="F286" s="182"/>
      <c r="G286" s="180"/>
      <c r="H286" s="180"/>
      <c r="I286" s="180"/>
      <c r="J286" s="180"/>
      <c r="K286" s="183"/>
      <c r="L286" s="184"/>
      <c r="M286" s="185"/>
      <c r="N286" s="180"/>
      <c r="O286" s="69">
        <f t="shared" si="34"/>
        <v>0</v>
      </c>
      <c r="P286" s="186"/>
      <c r="Q286" s="179"/>
      <c r="R286" s="180"/>
      <c r="S286" s="187"/>
      <c r="T286" s="146">
        <f t="shared" si="11"/>
        <v>0</v>
      </c>
      <c r="U286" s="146"/>
      <c r="V286" s="188"/>
      <c r="W286" s="180"/>
      <c r="X286" s="180"/>
      <c r="Y286" s="180"/>
      <c r="Z286" s="148" t="str">
        <f>IFERROR(__xludf.DUMMYFUNCTION("""COMPUTED_VALUE"""),"")</f>
        <v/>
      </c>
      <c r="AA286" s="148" t="str">
        <f>IFERROR(__xludf.DUMMYFUNCTION("""COMPUTED_VALUE"""),"")</f>
        <v/>
      </c>
      <c r="AB286" s="148" t="str">
        <f>IFERROR(__xludf.DUMMYFUNCTION("""COMPUTED_VALUE"""),"")</f>
        <v/>
      </c>
      <c r="AC286" s="148"/>
      <c r="AD286" s="149"/>
      <c r="AE286" s="148"/>
      <c r="AF286" s="148"/>
      <c r="AG286" s="148" t="s">
        <v>613</v>
      </c>
      <c r="AH286" s="148"/>
      <c r="AI286" s="148"/>
      <c r="AJ286" s="148" t="s">
        <v>614</v>
      </c>
      <c r="AK286" s="148" t="s">
        <v>614</v>
      </c>
      <c r="AL286" s="148"/>
      <c r="AM286" s="148"/>
      <c r="AN286" s="148"/>
      <c r="AO286" s="148"/>
      <c r="AP286" s="148"/>
      <c r="AQ286" s="148"/>
      <c r="AR286" s="148"/>
      <c r="AS286" s="148"/>
      <c r="AT286" s="148"/>
      <c r="AU286" s="148"/>
    </row>
    <row r="287" ht="14.25" customHeight="1">
      <c r="A287" s="179"/>
      <c r="B287" s="180"/>
      <c r="C287" s="181"/>
      <c r="D287" s="179"/>
      <c r="E287" s="182"/>
      <c r="F287" s="182"/>
      <c r="G287" s="180"/>
      <c r="H287" s="180"/>
      <c r="I287" s="180"/>
      <c r="J287" s="180"/>
      <c r="K287" s="183"/>
      <c r="L287" s="184"/>
      <c r="M287" s="185"/>
      <c r="N287" s="180"/>
      <c r="O287" s="69">
        <f t="shared" si="34"/>
        <v>0</v>
      </c>
      <c r="P287" s="186"/>
      <c r="Q287" s="179"/>
      <c r="R287" s="180"/>
      <c r="S287" s="187"/>
      <c r="T287" s="146">
        <f t="shared" si="11"/>
        <v>0</v>
      </c>
      <c r="U287" s="146"/>
      <c r="V287" s="188"/>
      <c r="W287" s="180"/>
      <c r="X287" s="180"/>
      <c r="Y287" s="180"/>
      <c r="Z287" s="148" t="str">
        <f>IFERROR(__xludf.DUMMYFUNCTION("""COMPUTED_VALUE"""),"")</f>
        <v/>
      </c>
      <c r="AA287" s="148" t="str">
        <f>IFERROR(__xludf.DUMMYFUNCTION("""COMPUTED_VALUE"""),"")</f>
        <v/>
      </c>
      <c r="AB287" s="148" t="str">
        <f>IFERROR(__xludf.DUMMYFUNCTION("""COMPUTED_VALUE"""),"")</f>
        <v/>
      </c>
      <c r="AC287" s="148"/>
      <c r="AD287" s="149"/>
      <c r="AE287" s="148"/>
      <c r="AF287" s="148"/>
      <c r="AG287" s="148" t="s">
        <v>613</v>
      </c>
      <c r="AH287" s="148"/>
      <c r="AI287" s="148"/>
      <c r="AJ287" s="148" t="s">
        <v>614</v>
      </c>
      <c r="AK287" s="148" t="s">
        <v>614</v>
      </c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</row>
    <row r="288" ht="14.25" customHeight="1">
      <c r="A288" s="179"/>
      <c r="B288" s="180"/>
      <c r="C288" s="181"/>
      <c r="D288" s="179"/>
      <c r="E288" s="182"/>
      <c r="F288" s="182"/>
      <c r="G288" s="180"/>
      <c r="H288" s="180"/>
      <c r="I288" s="180"/>
      <c r="J288" s="180"/>
      <c r="K288" s="183"/>
      <c r="L288" s="184"/>
      <c r="M288" s="185"/>
      <c r="N288" s="180"/>
      <c r="O288" s="69">
        <f t="shared" si="34"/>
        <v>0</v>
      </c>
      <c r="P288" s="186"/>
      <c r="Q288" s="179"/>
      <c r="R288" s="180"/>
      <c r="S288" s="187"/>
      <c r="T288" s="146">
        <f t="shared" si="11"/>
        <v>0</v>
      </c>
      <c r="U288" s="146"/>
      <c r="V288" s="188"/>
      <c r="W288" s="180"/>
      <c r="X288" s="180"/>
      <c r="Y288" s="180"/>
      <c r="Z288" s="148" t="str">
        <f>IFERROR(__xludf.DUMMYFUNCTION("""COMPUTED_VALUE"""),"")</f>
        <v/>
      </c>
      <c r="AA288" s="148" t="str">
        <f>IFERROR(__xludf.DUMMYFUNCTION("""COMPUTED_VALUE"""),"")</f>
        <v/>
      </c>
      <c r="AB288" s="148" t="str">
        <f>IFERROR(__xludf.DUMMYFUNCTION("""COMPUTED_VALUE"""),"")</f>
        <v/>
      </c>
      <c r="AC288" s="148"/>
      <c r="AD288" s="149"/>
      <c r="AE288" s="148"/>
      <c r="AF288" s="148"/>
      <c r="AG288" s="148" t="s">
        <v>613</v>
      </c>
      <c r="AH288" s="148"/>
      <c r="AI288" s="148"/>
      <c r="AJ288" s="148" t="s">
        <v>614</v>
      </c>
      <c r="AK288" s="148" t="s">
        <v>614</v>
      </c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</row>
    <row r="289" ht="14.25" customHeight="1">
      <c r="A289" s="179"/>
      <c r="B289" s="180"/>
      <c r="C289" s="181"/>
      <c r="D289" s="179"/>
      <c r="E289" s="182"/>
      <c r="F289" s="182"/>
      <c r="G289" s="180"/>
      <c r="H289" s="180"/>
      <c r="I289" s="180"/>
      <c r="J289" s="180"/>
      <c r="K289" s="183"/>
      <c r="L289" s="184"/>
      <c r="M289" s="185"/>
      <c r="N289" s="180"/>
      <c r="O289" s="69">
        <f t="shared" si="34"/>
        <v>0</v>
      </c>
      <c r="P289" s="186"/>
      <c r="Q289" s="179"/>
      <c r="R289" s="180"/>
      <c r="S289" s="187"/>
      <c r="T289" s="146">
        <f t="shared" si="11"/>
        <v>0</v>
      </c>
      <c r="U289" s="146"/>
      <c r="V289" s="188"/>
      <c r="W289" s="180"/>
      <c r="X289" s="180"/>
      <c r="Y289" s="180"/>
      <c r="Z289" s="148" t="str">
        <f>IFERROR(__xludf.DUMMYFUNCTION("""COMPUTED_VALUE"""),"")</f>
        <v/>
      </c>
      <c r="AA289" s="148" t="str">
        <f>IFERROR(__xludf.DUMMYFUNCTION("""COMPUTED_VALUE"""),"")</f>
        <v/>
      </c>
      <c r="AB289" s="148" t="str">
        <f>IFERROR(__xludf.DUMMYFUNCTION("""COMPUTED_VALUE"""),"")</f>
        <v/>
      </c>
      <c r="AC289" s="148"/>
      <c r="AD289" s="149"/>
      <c r="AE289" s="148"/>
      <c r="AF289" s="148"/>
      <c r="AG289" s="148" t="s">
        <v>613</v>
      </c>
      <c r="AH289" s="148"/>
      <c r="AI289" s="148"/>
      <c r="AJ289" s="148" t="s">
        <v>614</v>
      </c>
      <c r="AK289" s="148" t="s">
        <v>614</v>
      </c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</row>
    <row r="290" ht="14.25" customHeight="1">
      <c r="A290" s="179"/>
      <c r="B290" s="180"/>
      <c r="C290" s="181"/>
      <c r="D290" s="179"/>
      <c r="E290" s="182"/>
      <c r="F290" s="182"/>
      <c r="G290" s="180"/>
      <c r="H290" s="180"/>
      <c r="I290" s="180"/>
      <c r="J290" s="180"/>
      <c r="K290" s="183"/>
      <c r="L290" s="184"/>
      <c r="M290" s="185"/>
      <c r="N290" s="180"/>
      <c r="O290" s="69">
        <f t="shared" si="34"/>
        <v>0</v>
      </c>
      <c r="P290" s="186"/>
      <c r="Q290" s="179"/>
      <c r="R290" s="180"/>
      <c r="S290" s="187"/>
      <c r="T290" s="146">
        <f t="shared" si="11"/>
        <v>0</v>
      </c>
      <c r="U290" s="146"/>
      <c r="V290" s="188"/>
      <c r="W290" s="180"/>
      <c r="X290" s="180"/>
      <c r="Y290" s="180"/>
      <c r="Z290" s="148" t="str">
        <f>IFERROR(__xludf.DUMMYFUNCTION("""COMPUTED_VALUE"""),"")</f>
        <v/>
      </c>
      <c r="AA290" s="148" t="str">
        <f>IFERROR(__xludf.DUMMYFUNCTION("""COMPUTED_VALUE"""),"")</f>
        <v/>
      </c>
      <c r="AB290" s="148" t="str">
        <f>IFERROR(__xludf.DUMMYFUNCTION("""COMPUTED_VALUE"""),"")</f>
        <v/>
      </c>
      <c r="AC290" s="148"/>
      <c r="AD290" s="149"/>
      <c r="AE290" s="148"/>
      <c r="AF290" s="148"/>
      <c r="AG290" s="148" t="s">
        <v>613</v>
      </c>
      <c r="AH290" s="148"/>
      <c r="AI290" s="148"/>
      <c r="AJ290" s="148" t="s">
        <v>614</v>
      </c>
      <c r="AK290" s="148" t="s">
        <v>614</v>
      </c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</row>
    <row r="291" ht="14.25" customHeight="1">
      <c r="A291" s="179"/>
      <c r="B291" s="180"/>
      <c r="C291" s="181"/>
      <c r="D291" s="179"/>
      <c r="E291" s="182"/>
      <c r="F291" s="182"/>
      <c r="G291" s="180"/>
      <c r="H291" s="180"/>
      <c r="I291" s="180"/>
      <c r="J291" s="180"/>
      <c r="K291" s="183"/>
      <c r="L291" s="184"/>
      <c r="M291" s="185"/>
      <c r="N291" s="180"/>
      <c r="O291" s="69">
        <f t="shared" si="34"/>
        <v>0</v>
      </c>
      <c r="P291" s="186"/>
      <c r="Q291" s="179"/>
      <c r="R291" s="180"/>
      <c r="S291" s="187"/>
      <c r="T291" s="146">
        <f t="shared" si="11"/>
        <v>0</v>
      </c>
      <c r="U291" s="146"/>
      <c r="V291" s="188"/>
      <c r="W291" s="180"/>
      <c r="X291" s="180"/>
      <c r="Y291" s="180"/>
      <c r="Z291" s="148" t="str">
        <f>IFERROR(__xludf.DUMMYFUNCTION("""COMPUTED_VALUE"""),"")</f>
        <v/>
      </c>
      <c r="AA291" s="148" t="str">
        <f>IFERROR(__xludf.DUMMYFUNCTION("""COMPUTED_VALUE"""),"")</f>
        <v/>
      </c>
      <c r="AB291" s="148" t="str">
        <f>IFERROR(__xludf.DUMMYFUNCTION("""COMPUTED_VALUE"""),"")</f>
        <v/>
      </c>
      <c r="AC291" s="148"/>
      <c r="AD291" s="149"/>
      <c r="AE291" s="148"/>
      <c r="AF291" s="148"/>
      <c r="AG291" s="148" t="s">
        <v>613</v>
      </c>
      <c r="AH291" s="148"/>
      <c r="AI291" s="148"/>
      <c r="AJ291" s="148" t="s">
        <v>614</v>
      </c>
      <c r="AK291" s="148" t="s">
        <v>614</v>
      </c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</row>
    <row r="292" ht="14.25" customHeight="1">
      <c r="A292" s="179"/>
      <c r="B292" s="180"/>
      <c r="C292" s="181"/>
      <c r="D292" s="179"/>
      <c r="E292" s="182"/>
      <c r="F292" s="182"/>
      <c r="G292" s="180"/>
      <c r="H292" s="180"/>
      <c r="I292" s="180"/>
      <c r="J292" s="180"/>
      <c r="K292" s="183"/>
      <c r="L292" s="184"/>
      <c r="M292" s="185"/>
      <c r="N292" s="180"/>
      <c r="O292" s="69">
        <f t="shared" si="34"/>
        <v>0</v>
      </c>
      <c r="P292" s="186"/>
      <c r="Q292" s="179"/>
      <c r="R292" s="180"/>
      <c r="S292" s="187"/>
      <c r="T292" s="146">
        <f t="shared" si="11"/>
        <v>0</v>
      </c>
      <c r="U292" s="146"/>
      <c r="V292" s="188"/>
      <c r="W292" s="180"/>
      <c r="X292" s="180"/>
      <c r="Y292" s="180"/>
      <c r="Z292" s="148" t="str">
        <f>IFERROR(__xludf.DUMMYFUNCTION("""COMPUTED_VALUE"""),"")</f>
        <v/>
      </c>
      <c r="AA292" s="148" t="str">
        <f>IFERROR(__xludf.DUMMYFUNCTION("""COMPUTED_VALUE"""),"")</f>
        <v/>
      </c>
      <c r="AB292" s="148" t="str">
        <f>IFERROR(__xludf.DUMMYFUNCTION("""COMPUTED_VALUE"""),"")</f>
        <v/>
      </c>
      <c r="AC292" s="148"/>
      <c r="AD292" s="149"/>
      <c r="AE292" s="148"/>
      <c r="AF292" s="148"/>
      <c r="AG292" s="148" t="s">
        <v>613</v>
      </c>
      <c r="AH292" s="148"/>
      <c r="AI292" s="148"/>
      <c r="AJ292" s="148" t="s">
        <v>614</v>
      </c>
      <c r="AK292" s="148" t="s">
        <v>614</v>
      </c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</row>
    <row r="293" ht="14.25" customHeight="1">
      <c r="A293" s="179"/>
      <c r="B293" s="180"/>
      <c r="C293" s="181"/>
      <c r="D293" s="179"/>
      <c r="E293" s="182"/>
      <c r="F293" s="182"/>
      <c r="G293" s="180"/>
      <c r="H293" s="180"/>
      <c r="I293" s="180"/>
      <c r="J293" s="180"/>
      <c r="K293" s="183"/>
      <c r="L293" s="184"/>
      <c r="M293" s="185"/>
      <c r="N293" s="180"/>
      <c r="O293" s="69">
        <f t="shared" si="34"/>
        <v>0</v>
      </c>
      <c r="P293" s="186"/>
      <c r="Q293" s="179"/>
      <c r="R293" s="180"/>
      <c r="S293" s="187"/>
      <c r="T293" s="146">
        <f t="shared" si="11"/>
        <v>0</v>
      </c>
      <c r="U293" s="146"/>
      <c r="V293" s="188"/>
      <c r="W293" s="180"/>
      <c r="X293" s="180"/>
      <c r="Y293" s="180"/>
      <c r="Z293" s="148" t="str">
        <f>IFERROR(__xludf.DUMMYFUNCTION("""COMPUTED_VALUE"""),"")</f>
        <v/>
      </c>
      <c r="AA293" s="148" t="str">
        <f>IFERROR(__xludf.DUMMYFUNCTION("""COMPUTED_VALUE"""),"")</f>
        <v/>
      </c>
      <c r="AB293" s="148" t="str">
        <f>IFERROR(__xludf.DUMMYFUNCTION("""COMPUTED_VALUE"""),"")</f>
        <v/>
      </c>
      <c r="AC293" s="148"/>
      <c r="AD293" s="149"/>
      <c r="AE293" s="148"/>
      <c r="AF293" s="148"/>
      <c r="AG293" s="148" t="s">
        <v>613</v>
      </c>
      <c r="AH293" s="148"/>
      <c r="AI293" s="148"/>
      <c r="AJ293" s="148" t="s">
        <v>614</v>
      </c>
      <c r="AK293" s="148" t="s">
        <v>614</v>
      </c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</row>
    <row r="294" ht="14.25" customHeight="1">
      <c r="A294" s="179"/>
      <c r="B294" s="180"/>
      <c r="C294" s="181"/>
      <c r="D294" s="179"/>
      <c r="E294" s="182"/>
      <c r="F294" s="182"/>
      <c r="G294" s="180"/>
      <c r="H294" s="180"/>
      <c r="I294" s="180"/>
      <c r="J294" s="180"/>
      <c r="K294" s="183"/>
      <c r="L294" s="184"/>
      <c r="M294" s="185"/>
      <c r="N294" s="180"/>
      <c r="O294" s="69">
        <f t="shared" si="34"/>
        <v>0</v>
      </c>
      <c r="P294" s="186"/>
      <c r="Q294" s="179"/>
      <c r="R294" s="180"/>
      <c r="S294" s="187"/>
      <c r="T294" s="146">
        <f t="shared" si="11"/>
        <v>0</v>
      </c>
      <c r="U294" s="146"/>
      <c r="V294" s="188"/>
      <c r="W294" s="180"/>
      <c r="X294" s="180"/>
      <c r="Y294" s="180"/>
      <c r="Z294" s="148" t="str">
        <f>IFERROR(__xludf.DUMMYFUNCTION("""COMPUTED_VALUE"""),"")</f>
        <v/>
      </c>
      <c r="AA294" s="148" t="str">
        <f>IFERROR(__xludf.DUMMYFUNCTION("""COMPUTED_VALUE"""),"")</f>
        <v/>
      </c>
      <c r="AB294" s="148" t="str">
        <f>IFERROR(__xludf.DUMMYFUNCTION("""COMPUTED_VALUE"""),"")</f>
        <v/>
      </c>
      <c r="AC294" s="148"/>
      <c r="AD294" s="149"/>
      <c r="AE294" s="148"/>
      <c r="AF294" s="148"/>
      <c r="AG294" s="148" t="s">
        <v>613</v>
      </c>
      <c r="AH294" s="148"/>
      <c r="AI294" s="148"/>
      <c r="AJ294" s="148" t="s">
        <v>614</v>
      </c>
      <c r="AK294" s="148" t="s">
        <v>614</v>
      </c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</row>
    <row r="295" ht="14.25" customHeight="1">
      <c r="A295" s="179"/>
      <c r="B295" s="180"/>
      <c r="C295" s="181"/>
      <c r="D295" s="179"/>
      <c r="E295" s="182"/>
      <c r="F295" s="182"/>
      <c r="G295" s="180"/>
      <c r="H295" s="180"/>
      <c r="I295" s="180"/>
      <c r="J295" s="180"/>
      <c r="K295" s="183"/>
      <c r="L295" s="184"/>
      <c r="M295" s="185"/>
      <c r="N295" s="180"/>
      <c r="O295" s="69">
        <f t="shared" si="34"/>
        <v>0</v>
      </c>
      <c r="P295" s="186"/>
      <c r="Q295" s="179"/>
      <c r="R295" s="180"/>
      <c r="S295" s="187"/>
      <c r="T295" s="146">
        <f t="shared" si="11"/>
        <v>0</v>
      </c>
      <c r="U295" s="146"/>
      <c r="V295" s="188"/>
      <c r="W295" s="180"/>
      <c r="X295" s="180"/>
      <c r="Y295" s="180"/>
      <c r="Z295" s="148" t="str">
        <f>IFERROR(__xludf.DUMMYFUNCTION("""COMPUTED_VALUE"""),"")</f>
        <v/>
      </c>
      <c r="AA295" s="148" t="str">
        <f>IFERROR(__xludf.DUMMYFUNCTION("""COMPUTED_VALUE"""),"")</f>
        <v/>
      </c>
      <c r="AB295" s="148" t="str">
        <f>IFERROR(__xludf.DUMMYFUNCTION("""COMPUTED_VALUE"""),"")</f>
        <v/>
      </c>
      <c r="AC295" s="148"/>
      <c r="AD295" s="149"/>
      <c r="AE295" s="148"/>
      <c r="AF295" s="148"/>
      <c r="AG295" s="148" t="s">
        <v>613</v>
      </c>
      <c r="AH295" s="148"/>
      <c r="AI295" s="148"/>
      <c r="AJ295" s="148" t="s">
        <v>614</v>
      </c>
      <c r="AK295" s="148" t="s">
        <v>614</v>
      </c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</row>
    <row r="296" ht="14.25" customHeight="1">
      <c r="A296" s="179"/>
      <c r="B296" s="180"/>
      <c r="C296" s="181"/>
      <c r="D296" s="179"/>
      <c r="E296" s="182"/>
      <c r="F296" s="182"/>
      <c r="G296" s="180"/>
      <c r="H296" s="180"/>
      <c r="I296" s="180"/>
      <c r="J296" s="180"/>
      <c r="K296" s="183"/>
      <c r="L296" s="184"/>
      <c r="M296" s="185"/>
      <c r="N296" s="180"/>
      <c r="O296" s="69">
        <f t="shared" si="34"/>
        <v>0</v>
      </c>
      <c r="P296" s="186"/>
      <c r="Q296" s="179"/>
      <c r="R296" s="180"/>
      <c r="S296" s="187"/>
      <c r="T296" s="146">
        <f t="shared" si="11"/>
        <v>0</v>
      </c>
      <c r="U296" s="146"/>
      <c r="V296" s="188"/>
      <c r="W296" s="180"/>
      <c r="X296" s="180"/>
      <c r="Y296" s="180"/>
      <c r="Z296" s="148" t="str">
        <f>IFERROR(__xludf.DUMMYFUNCTION("""COMPUTED_VALUE"""),"")</f>
        <v/>
      </c>
      <c r="AA296" s="148" t="str">
        <f>IFERROR(__xludf.DUMMYFUNCTION("""COMPUTED_VALUE"""),"")</f>
        <v/>
      </c>
      <c r="AB296" s="148" t="str">
        <f>IFERROR(__xludf.DUMMYFUNCTION("""COMPUTED_VALUE"""),"")</f>
        <v/>
      </c>
      <c r="AC296" s="148"/>
      <c r="AD296" s="149"/>
      <c r="AE296" s="148"/>
      <c r="AF296" s="148"/>
      <c r="AG296" s="148" t="s">
        <v>613</v>
      </c>
      <c r="AH296" s="148"/>
      <c r="AI296" s="148"/>
      <c r="AJ296" s="148" t="s">
        <v>614</v>
      </c>
      <c r="AK296" s="148" t="s">
        <v>614</v>
      </c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</row>
    <row r="297" ht="14.25" customHeight="1">
      <c r="A297" s="179"/>
      <c r="B297" s="180"/>
      <c r="C297" s="181"/>
      <c r="D297" s="179"/>
      <c r="E297" s="182"/>
      <c r="F297" s="182"/>
      <c r="G297" s="180"/>
      <c r="H297" s="180"/>
      <c r="I297" s="180"/>
      <c r="J297" s="180"/>
      <c r="K297" s="183"/>
      <c r="L297" s="184"/>
      <c r="M297" s="185"/>
      <c r="N297" s="180"/>
      <c r="O297" s="69">
        <f t="shared" si="34"/>
        <v>0</v>
      </c>
      <c r="P297" s="186"/>
      <c r="Q297" s="179"/>
      <c r="R297" s="180"/>
      <c r="S297" s="187"/>
      <c r="T297" s="146">
        <f t="shared" si="11"/>
        <v>0</v>
      </c>
      <c r="U297" s="146"/>
      <c r="V297" s="188"/>
      <c r="W297" s="180"/>
      <c r="X297" s="180"/>
      <c r="Y297" s="180"/>
      <c r="Z297" s="148" t="str">
        <f>IFERROR(__xludf.DUMMYFUNCTION("""COMPUTED_VALUE"""),"")</f>
        <v/>
      </c>
      <c r="AA297" s="148" t="str">
        <f>IFERROR(__xludf.DUMMYFUNCTION("""COMPUTED_VALUE"""),"")</f>
        <v/>
      </c>
      <c r="AB297" s="148" t="str">
        <f>IFERROR(__xludf.DUMMYFUNCTION("""COMPUTED_VALUE"""),"")</f>
        <v/>
      </c>
      <c r="AC297" s="148"/>
      <c r="AD297" s="149"/>
      <c r="AE297" s="148"/>
      <c r="AF297" s="148"/>
      <c r="AG297" s="148" t="s">
        <v>613</v>
      </c>
      <c r="AH297" s="148"/>
      <c r="AI297" s="148"/>
      <c r="AJ297" s="148" t="s">
        <v>614</v>
      </c>
      <c r="AK297" s="148" t="s">
        <v>614</v>
      </c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</row>
    <row r="298" ht="14.25" customHeight="1">
      <c r="A298" s="179"/>
      <c r="B298" s="180"/>
      <c r="C298" s="181"/>
      <c r="D298" s="179"/>
      <c r="E298" s="182"/>
      <c r="F298" s="182"/>
      <c r="G298" s="180"/>
      <c r="H298" s="180"/>
      <c r="I298" s="180"/>
      <c r="J298" s="180"/>
      <c r="K298" s="183"/>
      <c r="L298" s="184"/>
      <c r="M298" s="185"/>
      <c r="N298" s="180"/>
      <c r="O298" s="69">
        <f t="shared" si="34"/>
        <v>0</v>
      </c>
      <c r="P298" s="186"/>
      <c r="Q298" s="179"/>
      <c r="R298" s="180"/>
      <c r="S298" s="187"/>
      <c r="T298" s="146">
        <f t="shared" si="11"/>
        <v>0</v>
      </c>
      <c r="U298" s="146"/>
      <c r="V298" s="188"/>
      <c r="W298" s="180"/>
      <c r="X298" s="180"/>
      <c r="Y298" s="180"/>
      <c r="Z298" s="148" t="str">
        <f>IFERROR(__xludf.DUMMYFUNCTION("""COMPUTED_VALUE"""),"")</f>
        <v/>
      </c>
      <c r="AA298" s="148" t="str">
        <f>IFERROR(__xludf.DUMMYFUNCTION("""COMPUTED_VALUE"""),"")</f>
        <v/>
      </c>
      <c r="AB298" s="148" t="str">
        <f>IFERROR(__xludf.DUMMYFUNCTION("""COMPUTED_VALUE"""),"")</f>
        <v/>
      </c>
      <c r="AC298" s="148"/>
      <c r="AD298" s="149"/>
      <c r="AE298" s="148"/>
      <c r="AF298" s="148"/>
      <c r="AG298" s="148" t="s">
        <v>613</v>
      </c>
      <c r="AH298" s="148"/>
      <c r="AI298" s="148"/>
      <c r="AJ298" s="148" t="s">
        <v>614</v>
      </c>
      <c r="AK298" s="148" t="s">
        <v>614</v>
      </c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</row>
    <row r="299" ht="18.75" customHeight="1">
      <c r="A299" s="48"/>
      <c r="B299" s="49"/>
      <c r="C299" s="50"/>
      <c r="D299" s="128"/>
      <c r="E299" s="51"/>
      <c r="F299" s="52"/>
      <c r="G299" s="48" t="s">
        <v>142</v>
      </c>
      <c r="H299" s="53"/>
      <c r="I299" s="53">
        <f>SUM(I76:I298)</f>
        <v>176</v>
      </c>
      <c r="J299" s="53"/>
      <c r="K299" s="48"/>
      <c r="L299" s="53"/>
      <c r="M299" s="53"/>
      <c r="N299" s="53"/>
      <c r="O299" s="53"/>
      <c r="P299" s="50"/>
      <c r="Q299" s="53"/>
      <c r="R299" s="53"/>
      <c r="S299" s="54"/>
      <c r="T299" s="54"/>
      <c r="U299" s="146"/>
      <c r="V299" s="50"/>
      <c r="W299" s="50"/>
      <c r="X299" s="50"/>
      <c r="Y299" s="50"/>
      <c r="Z299" s="55" t="str">
        <f>IFERROR(__xludf.DUMMYFUNCTION("""COMPUTED_VALUE"""),"")</f>
        <v/>
      </c>
      <c r="AA299" s="55" t="str">
        <f>IFERROR(__xludf.DUMMYFUNCTION("""COMPUTED_VALUE"""),"")</f>
        <v/>
      </c>
      <c r="AB299" s="55" t="str">
        <f>IFERROR(__xludf.DUMMYFUNCTION("""COMPUTED_VALUE"""),"")</f>
        <v/>
      </c>
      <c r="AC299" s="55"/>
      <c r="AD299" s="55"/>
      <c r="AE299" s="55"/>
      <c r="AF299" s="55"/>
      <c r="AG299" s="7" t="s">
        <v>613</v>
      </c>
      <c r="AH299" s="7"/>
      <c r="AI299" s="7" t="s">
        <v>142</v>
      </c>
      <c r="AJ299" s="7" t="s">
        <v>614</v>
      </c>
      <c r="AK299" s="7" t="s">
        <v>614</v>
      </c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</sheetData>
  <autoFilter ref="$A$75:$AU$299"/>
  <mergeCells count="1">
    <mergeCell ref="A1:O1"/>
  </mergeCells>
  <dataValidations>
    <dataValidation type="list" allowBlank="1" sqref="A76:A84">
      <formula1>$H$4:$H$7</formula1>
    </dataValidation>
    <dataValidation type="list" allowBlank="1" showErrorMessage="1" sqref="P86">
      <formula1>QUYUOC!$J$2:$J$12</formula1>
    </dataValidation>
    <dataValidation type="list" allowBlank="1" showErrorMessage="1" sqref="V12:V72 V76:V298">
      <formula1>QUYUOC!$D$2:$D$6</formula1>
    </dataValidation>
    <dataValidation type="list" allowBlank="1" showErrorMessage="1" sqref="P85 P87:P93 P96:P298">
      <formula1>QUYUOC!$J$2:$J$12</formula1>
    </dataValidation>
    <dataValidation type="list" allowBlank="1" showErrorMessage="1" sqref="P76:P77">
      <formula1>"ADM,ADM 2,CH1-Khách,CH1-SR,MH,Ba Sao"</formula1>
    </dataValidation>
    <dataValidation type="list" allowBlank="1" showErrorMessage="1" sqref="Q76:Q299">
      <formula1>QUYUOC!$N$2:$N$16</formula1>
    </dataValidation>
    <dataValidation type="list" allowBlank="1" sqref="A12:A31">
      <formula1>$H$4:$H$9</formula1>
    </dataValidation>
    <dataValidation type="list" allowBlank="1" showErrorMessage="1" sqref="P78:P84 P94:P95">
      <formula1>"ADM,ADM 2,CH1-Khách,CH1-SR,MH"</formula1>
    </dataValidation>
    <dataValidation type="list" allowBlank="1" sqref="A32:A72 A85:A298">
      <formula1>QUYUOC!$G$2:$G$10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